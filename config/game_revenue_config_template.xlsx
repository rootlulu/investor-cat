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8834d0240949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填写说明" sheetId="1" r:id="R18aac1686dbb41c6"/>
    <x:sheet xmlns:r="http://schemas.openxmlformats.org/officeDocument/2006/relationships" name="系统设置" sheetId="2" r:id="Rffdde02ea1454892"/>
    <x:sheet xmlns:r="http://schemas.openxmlformats.org/officeDocument/2006/relationships" name="游戏配置" sheetId="3" r:id="Rfaa755fb49ac43bc"/>
    <x:sheet xmlns:r="http://schemas.openxmlformats.org/officeDocument/2006/relationships" name="国家地区" sheetId="4" r:id="R2ccc194472c64894"/>
    <x:sheet xmlns:r="http://schemas.openxmlformats.org/officeDocument/2006/relationships" name="AppID映射" sheetId="5" r:id="R1cd879e8d2224e15"/>
    <x:sheet xmlns:r="http://schemas.openxmlformats.org/officeDocument/2006/relationships" name="榜单监控" sheetId="6" r:id="R463b992a2ff74a65"/>
    <x:sheet xmlns:r="http://schemas.openxmlformats.org/officeDocument/2006/relationships" name="渠道系数" sheetId="7" r:id="R05825ff40e3d46f0"/>
    <x:sheet xmlns:r="http://schemas.openxmlformats.org/officeDocument/2006/relationships" name="分成比例" sheetId="8" r:id="Ra91fbb6ff30c41bf"/>
    <x:sheet xmlns:r="http://schemas.openxmlformats.org/officeDocument/2006/relationships" name="排名流水算法" sheetId="9" r:id="Rc74a5cfbdf2f41c1"/>
    <x:sheet xmlns:r="http://schemas.openxmlformats.org/officeDocument/2006/relationships" name="汇率配置" sheetId="10" r:id="R0071d4b646bd4269"/>
    <x:sheet xmlns:r="http://schemas.openxmlformats.org/officeDocument/2006/relationships" name="检查清单" sheetId="11" r:id="R12ce2f03491a4548"/>
    <x:sheet xmlns:r="http://schemas.openxmlformats.org/officeDocument/2006/relationships" name="字段字典" sheetId="12" r:id="R8c12436d83d14f0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yyyy-mm-dd"/>
    <x:numFmt numFmtId="201" formatCode="0.00%"/>
    <x:numFmt numFmtId="202" formatCode="0"/>
    <x:numFmt numFmtId="203" formatCode="@"/>
    <x:numFmt numFmtId="204" formatCode="0.00x"/>
    <x:numFmt numFmtId="205" formatCode="#,##0;[Red](#,##0);-"/>
    <x:numFmt numFmtId="206" formatCode="0.000000"/>
  </x:numFmts>
  <x:fonts count="13">
    <x:font>
      <x:sz val="11"/>
      <x:name val="Carlito"/>
    </x:font>
    <x:font>
      <x:b/>
      <x:sz val="18"/>
      <x:color rgb="FFFFFFFF"/>
      <x:name val="Microsoft YaHei"/>
    </x:font>
    <x:font>
      <x:sz val="10"/>
      <x:color rgb="FFFFFFFF"/>
      <x:name val="Microsoft YaHei"/>
    </x:font>
    <x:font>
      <x:sz val="10"/>
      <x:color rgb="FF52606D"/>
      <x:name val="Microsoft YaHei"/>
    </x:font>
    <x:font>
      <x:b/>
      <x:sz val="10"/>
      <x:color rgb="FFFFFFFF"/>
      <x:name val="Microsoft YaHei"/>
    </x:font>
    <x:font>
      <x:sz val="10"/>
      <x:color rgb="FF0000FF"/>
      <x:name val="Microsoft YaHei"/>
    </x:font>
    <x:font>
      <x:sz val="10"/>
      <x:color rgb="FF111827"/>
      <x:name val="Microsoft YaHei"/>
    </x:font>
    <x:font>
      <x:b/>
      <x:sz val="11"/>
      <x:color rgb="FF111827"/>
      <x:name val="Microsoft YaHei"/>
    </x:font>
    <x:font>
      <x:sz val="11"/>
      <x:color rgb="FF111827"/>
      <x:name val="Microsoft YaHei"/>
    </x:font>
    <x:font>
      <x:b/>
      <x:sz val="11"/>
      <x:color rgb="FFFFFFFF"/>
      <x:name val="Microsoft YaHei"/>
    </x:font>
    <x:font>
      <x:b/>
      <x:sz val="15"/>
      <x:color rgb="FF111827"/>
      <x:name val="Microsoft YaHei"/>
    </x:font>
    <x:font>
      <x:sz val="11"/>
      <x:color rgb="FF52606D"/>
      <x:name val="Microsoft YaHei"/>
    </x:font>
    <x:font>
      <x:sz val="11"/>
      <x:name val="Microsoft YaHei"/>
    </x:font>
  </x:fonts>
  <x:fills count="9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0F766E"/>
      </x:patternFill>
    </x:fill>
    <x:fill>
      <x:patternFill patternType="solid">
        <x:fgColor rgb="FFDDF4F1"/>
      </x:patternFill>
    </x:fill>
    <x:fill>
      <x:patternFill patternType="solid">
        <x:fgColor rgb="FFFFF6CC"/>
      </x:patternFill>
    </x:fill>
    <x:fill>
      <x:patternFill patternType="solid">
        <x:fgColor rgb="FFEEF2F6"/>
      </x:patternFill>
    </x:fill>
    <x:fill>
      <x:patternFill patternType="solid">
        <x:fgColor rgb="FFF5F7FA"/>
      </x:patternFill>
    </x:fill>
    <x:fill>
      <x:patternFill patternType="solid">
        <x:fgColor rgb="FFEAF2FF"/>
      </x:patternFill>
    </x:fill>
  </x:fills>
  <x:borders count="9">
    <x:border/>
    <x:border>
      <x:left style="thin">
        <x:color rgb="FFD7DEE7"/>
      </x:left>
      <x:top style="thin">
        <x:color rgb="FFD7DEE7"/>
      </x:top>
    </x:border>
    <x:border>
      <x:top style="thin">
        <x:color rgb="FFD7DEE7"/>
      </x:top>
    </x:border>
    <x:border>
      <x:right style="thin">
        <x:color rgb="FFD7DEE7"/>
      </x:right>
      <x:top style="thin">
        <x:color rgb="FFD7DEE7"/>
      </x:top>
    </x:border>
    <x:border>
      <x:left style="thin">
        <x:color rgb="FFD7DEE7"/>
      </x:left>
      <x:bottom style="thin">
        <x:color rgb="FFD7DEE7"/>
      </x:bottom>
    </x:border>
    <x:border>
      <x:bottom style="thin">
        <x:color rgb="FFD7DEE7"/>
      </x:bottom>
    </x:border>
    <x:border>
      <x:right style="thin">
        <x:color rgb="FFD7DEE7"/>
      </x:right>
      <x:bottom style="thin">
        <x:color rgb="FFD7DEE7"/>
      </x:bottom>
    </x:border>
    <x:border>
      <x:bottom style="medium">
        <x:color rgb="FF0F766E"/>
      </x:bottom>
    </x:border>
    <x:border>
      <x:top style="thin">
        <x:color rgb="FFD7DEE7"/>
      </x:top>
      <x:bottom style="thin">
        <x:color rgb="FFD7DEE7"/>
      </x:bottom>
    </x:border>
  </x:borders>
  <x:cellStyleXfs count="1">
    <x:xf numFmtId="0" fontId="0" fillId="0" borderId="0"/>
  </x:cellStyleXfs>
  <x:cellXfs count="13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3" fillId="4" borderId="6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/>
    <x:xf numFmtId="0" fontId="4" fillId="2" borderId="7" xfId="0" applyNumberFormat="1" applyFont="1" applyFill="1" applyBorder="1"/>
    <x:xf numFmtId="0" fontId="4" fillId="2" borderId="7" xfId="0" applyNumberFormat="1" applyFont="1" applyFill="1" applyBorder="1" applyAlignment="1">
      <x:alignment wrapText="1"/>
    </x:xf>
    <x:xf numFmtId="0" fontId="4" fillId="2" borderId="7" xfId="0" applyNumberFormat="1" applyFont="1" applyFill="1" applyBorder="1" applyAlignment="1">
      <x:alignment horizontal="center" wrapText="1"/>
    </x:xf>
    <x:xf numFmtId="0" fontId="4" fillId="2" borderId="7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5" xfId="0" applyNumberFormat="1" applyFont="1" applyFill="1" applyBorder="1"/>
    <x:xf numFmtId="0" fontId="5" fillId="0" borderId="8" xfId="0" applyNumberFormat="1" applyFont="1" applyFill="1" applyBorder="1"/>
    <x:xf numFmtId="0" fontId="5" fillId="0" borderId="2" xfId="0" applyNumberFormat="1" applyFont="1" applyFill="1" applyBorder="1"/>
    <x:xf numFmtId="0" fontId="5" fillId="0" borderId="5" xfId="0" applyNumberFormat="1" applyFont="1" applyFill="1" applyBorder="1" applyAlignment="1">
      <x:alignment wrapText="1"/>
    </x:xf>
    <x:xf numFmtId="0" fontId="5" fillId="0" borderId="8" xfId="0" applyNumberFormat="1" applyFont="1" applyFill="1" applyBorder="1" applyAlignment="1">
      <x:alignment wrapText="1"/>
    </x:xf>
    <x:xf numFmtId="0" fontId="5" fillId="0" borderId="2" xfId="0" applyNumberFormat="1" applyFont="1" applyFill="1" applyBorder="1" applyAlignment="1">
      <x:alignment wrapText="1"/>
    </x:xf>
    <x:xf numFmtId="0" fontId="5" fillId="0" borderId="5" xfId="0" applyNumberFormat="1" applyFont="1" applyFill="1" applyBorder="1" applyAlignment="1">
      <x:alignment vertical="center" wrapText="1"/>
    </x:xf>
    <x:xf numFmtId="0" fontId="5" fillId="0" borderId="8" xfId="0" applyNumberFormat="1" applyFont="1" applyFill="1" applyBorder="1" applyAlignment="1">
      <x:alignment vertical="center" wrapText="1"/>
    </x:xf>
    <x:xf numFmtId="0" fontId="5" fillId="0" borderId="2" xfId="0" applyNumberFormat="1" applyFont="1" applyFill="1" applyBorder="1" applyAlignment="1">
      <x:alignment vertical="center" wrapText="1"/>
    </x:xf>
    <x:xf numFmtId="0" fontId="5" fillId="5" borderId="5" xfId="0" applyNumberFormat="1" applyFont="1" applyFill="1" applyBorder="1" applyAlignment="1">
      <x:alignment vertical="center" wrapText="1"/>
    </x:xf>
    <x:xf numFmtId="0" fontId="5" fillId="5" borderId="8" xfId="0" applyNumberFormat="1" applyFont="1" applyFill="1" applyBorder="1" applyAlignment="1">
      <x:alignment vertical="center" wrapText="1"/>
    </x:xf>
    <x:xf numFmtId="0" fontId="5" fillId="5" borderId="2" xfId="0" applyNumberFormat="1" applyFont="1" applyFill="1" applyBorder="1" applyAlignment="1">
      <x:alignment vertical="center" wrapText="1"/>
    </x:xf>
    <x:xf numFmtId="0" fontId="5" fillId="6" borderId="5" xfId="0" applyNumberFormat="1" applyFont="1" applyFill="1" applyBorder="1" applyAlignment="1">
      <x:alignment vertical="center" wrapText="1"/>
    </x:xf>
    <x:xf numFmtId="0" fontId="5" fillId="6" borderId="8" xfId="0" applyNumberFormat="1" applyFont="1" applyFill="1" applyBorder="1" applyAlignment="1">
      <x:alignment vertical="center" wrapText="1"/>
    </x:xf>
    <x:xf numFmtId="0" fontId="5" fillId="6" borderId="2" xfId="0" applyNumberFormat="1" applyFont="1" applyFill="1" applyBorder="1" applyAlignment="1">
      <x:alignment vertical="center" wrapText="1"/>
    </x:xf>
    <x:xf numFmtId="0" fontId="6" fillId="6" borderId="5" xfId="0" applyNumberFormat="1" applyFont="1" applyFill="1" applyBorder="1" applyAlignment="1">
      <x:alignment vertical="center" wrapText="1"/>
    </x:xf>
    <x:xf numFmtId="0" fontId="6" fillId="6" borderId="8" xfId="0" applyNumberFormat="1" applyFont="1" applyFill="1" applyBorder="1" applyAlignment="1">
      <x:alignment vertical="center" wrapText="1"/>
    </x:xf>
    <x:xf numFmtId="0" fontId="6" fillId="6" borderId="2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0" fillId="6" borderId="0" xfId="0" applyNumberFormat="1" applyFont="1" applyFill="1" applyBorder="1"/>
    <x:xf numFmtId="0" fontId="8" fillId="6" borderId="0" xfId="0" applyNumberFormat="1" applyFont="1" applyFill="1" applyBorder="1"/>
    <x:xf numFmtId="200" fontId="8" fillId="6" borderId="0" xfId="0" applyNumberFormat="1" applyFont="1" applyFill="1" applyBorder="1"/>
    <x:xf numFmtId="0" fontId="8" fillId="7" borderId="0" xfId="0" applyNumberFormat="1" applyFont="1" applyFill="1" applyBorder="1"/>
    <x:xf numFmtId="0" fontId="8" fillId="7" borderId="5" xfId="0" applyNumberFormat="1" applyFont="1" applyFill="1" applyBorder="1"/>
    <x:xf numFmtId="0" fontId="8" fillId="7" borderId="8" xfId="0" applyNumberFormat="1" applyFont="1" applyFill="1" applyBorder="1"/>
    <x:xf numFmtId="0" fontId="8" fillId="7" borderId="2" xfId="0" applyNumberFormat="1" applyFont="1" applyFill="1" applyBorder="1"/>
    <x:xf numFmtId="0" fontId="8" fillId="7" borderId="5" xfId="0" applyNumberFormat="1" applyFont="1" applyFill="1" applyBorder="1" applyAlignment="1">
      <x:alignment wrapText="1"/>
    </x:xf>
    <x:xf numFmtId="0" fontId="8" fillId="7" borderId="8" xfId="0" applyNumberFormat="1" applyFont="1" applyFill="1" applyBorder="1" applyAlignment="1">
      <x:alignment wrapText="1"/>
    </x:xf>
    <x:xf numFmtId="0" fontId="8" fillId="7" borderId="2" xfId="0" applyNumberFormat="1" applyFont="1" applyFill="1" applyBorder="1" applyAlignment="1">
      <x:alignment wrapText="1"/>
    </x:xf>
    <x:xf numFmtId="0" fontId="8" fillId="7" borderId="5" xfId="0" applyNumberFormat="1" applyFont="1" applyFill="1" applyBorder="1" applyAlignment="1">
      <x:alignment vertical="center" wrapText="1"/>
    </x:xf>
    <x:xf numFmtId="0" fontId="8" fillId="7" borderId="8" xfId="0" applyNumberFormat="1" applyFont="1" applyFill="1" applyBorder="1" applyAlignment="1">
      <x:alignment vertical="center" wrapText="1"/>
    </x:xf>
    <x:xf numFmtId="0" fontId="8" fillId="7" borderId="2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/>
    <x:xf numFmtId="0" fontId="6" fillId="0" borderId="5" xfId="0" applyNumberFormat="1" applyFont="1" applyFill="1" applyBorder="1"/>
    <x:xf numFmtId="0" fontId="6" fillId="0" borderId="8" xfId="0" applyNumberFormat="1" applyFont="1" applyFill="1" applyBorder="1"/>
    <x:xf numFmtId="0" fontId="6" fillId="0" borderId="2" xfId="0" applyNumberFormat="1" applyFont="1" applyFill="1" applyBorder="1"/>
    <x:xf numFmtId="0" fontId="6" fillId="0" borderId="5" xfId="0" applyNumberFormat="1" applyFont="1" applyFill="1" applyBorder="1" applyAlignment="1">
      <x:alignment wrapText="1"/>
    </x:xf>
    <x:xf numFmtId="0" fontId="6" fillId="0" borderId="8" xfId="0" applyNumberFormat="1" applyFont="1" applyFill="1" applyBorder="1" applyAlignment="1">
      <x:alignment wrapText="1"/>
    </x:xf>
    <x:xf numFmtId="0" fontId="6" fillId="0" borderId="2" xfId="0" applyNumberFormat="1" applyFont="1" applyFill="1" applyBorder="1" applyAlignment="1">
      <x:alignment wrapText="1"/>
    </x:xf>
    <x:xf numFmtId="0" fontId="6" fillId="0" borderId="5" xfId="0" applyNumberFormat="1" applyFont="1" applyFill="1" applyBorder="1" applyAlignment="1">
      <x:alignment vertical="center" wrapText="1"/>
    </x:xf>
    <x:xf numFmtId="0" fontId="6" fillId="0" borderId="8" xfId="0" applyNumberFormat="1" applyFont="1" applyFill="1" applyBorder="1" applyAlignment="1">
      <x:alignment vertical="center" wrapText="1"/>
    </x:xf>
    <x:xf numFmtId="0" fontId="6" fillId="0" borderId="2" xfId="0" applyNumberFormat="1" applyFont="1" applyFill="1" applyBorder="1" applyAlignment="1">
      <x:alignment vertical="center" wrapText="1"/>
    </x:xf>
    <x:xf numFmtId="0" fontId="6" fillId="8" borderId="5" xfId="0" applyNumberFormat="1" applyFont="1" applyFill="1" applyBorder="1" applyAlignment="1">
      <x:alignment vertical="center" wrapText="1"/>
    </x:xf>
    <x:xf numFmtId="0" fontId="6" fillId="8" borderId="8" xfId="0" applyNumberFormat="1" applyFont="1" applyFill="1" applyBorder="1" applyAlignment="1">
      <x:alignment vertical="center" wrapText="1"/>
    </x:xf>
    <x:xf numFmtId="0" fontId="6" fillId="7" borderId="8" xfId="0" applyNumberFormat="1" applyFont="1" applyFill="1" applyBorder="1" applyAlignment="1">
      <x:alignment vertical="center" wrapText="1"/>
    </x:xf>
    <x:xf numFmtId="0" fontId="6" fillId="7" borderId="2" xfId="0" applyNumberFormat="1" applyFont="1" applyFill="1" applyBorder="1" applyAlignment="1">
      <x:alignment vertical="center" wrapText="1"/>
    </x:xf>
    <x:xf numFmtId="201" fontId="5" fillId="5" borderId="8" xfId="0" applyNumberFormat="1" applyFont="1" applyFill="1" applyBorder="1" applyAlignment="1">
      <x:alignment vertical="center" wrapText="1"/>
    </x:xf>
    <x:xf numFmtId="202" fontId="5" fillId="5" borderId="8" xfId="0" applyNumberFormat="1" applyFont="1" applyFill="1" applyBorder="1" applyAlignment="1">
      <x:alignment vertical="center" wrapText="1"/>
    </x:xf>
    <x:xf numFmtId="0" fontId="6" fillId="5" borderId="5" xfId="0" applyNumberFormat="1" applyFont="1" applyFill="1" applyBorder="1" applyAlignment="1">
      <x:alignment vertical="center" wrapText="1"/>
    </x:xf>
    <x:xf numFmtId="0" fontId="6" fillId="5" borderId="8" xfId="0" applyNumberFormat="1" applyFont="1" applyFill="1" applyBorder="1" applyAlignment="1">
      <x:alignment vertical="center" wrapText="1"/>
    </x:xf>
    <x:xf numFmtId="202" fontId="5" fillId="5" borderId="5" xfId="0" applyNumberFormat="1" applyFont="1" applyFill="1" applyBorder="1" applyAlignment="1">
      <x:alignment vertical="center" wrapText="1"/>
    </x:xf>
    <x:xf numFmtId="202" fontId="5" fillId="5" borderId="2" xfId="0" applyNumberFormat="1" applyFont="1" applyFill="1" applyBorder="1" applyAlignment="1">
      <x:alignment vertical="center" wrapText="1"/>
    </x:xf>
    <x:xf numFmtId="203" fontId="5" fillId="5" borderId="5" xfId="0" applyNumberFormat="1" applyFont="1" applyFill="1" applyBorder="1" applyAlignment="1">
      <x:alignment vertical="center" wrapText="1"/>
    </x:xf>
    <x:xf numFmtId="203" fontId="5" fillId="5" borderId="8" xfId="0" applyNumberFormat="1" applyFont="1" applyFill="1" applyBorder="1" applyAlignment="1">
      <x:alignment vertical="center" wrapText="1"/>
    </x:xf>
    <x:xf numFmtId="203" fontId="5" fillId="5" borderId="2" xfId="0" applyNumberFormat="1" applyFont="1" applyFill="1" applyBorder="1" applyAlignment="1">
      <x:alignment vertical="center" wrapText="1"/>
    </x:xf>
    <x:xf numFmtId="203" fontId="5" fillId="0" borderId="5" xfId="0" applyNumberFormat="1" applyFont="1" applyFill="1" applyBorder="1" applyAlignment="1">
      <x:alignment vertical="center" wrapText="1"/>
    </x:xf>
    <x:xf numFmtId="203" fontId="5" fillId="0" borderId="8" xfId="0" applyNumberFormat="1" applyFont="1" applyFill="1" applyBorder="1" applyAlignment="1">
      <x:alignment vertical="center" wrapText="1"/>
    </x:xf>
    <x:xf numFmtId="203" fontId="5" fillId="0" borderId="2" xfId="0" applyNumberFormat="1" applyFont="1" applyFill="1" applyBorder="1" applyAlignment="1">
      <x:alignment vertical="center" wrapText="1"/>
    </x:xf>
    <x:xf numFmtId="200" fontId="5" fillId="5" borderId="5" xfId="0" applyNumberFormat="1" applyFont="1" applyFill="1" applyBorder="1" applyAlignment="1">
      <x:alignment vertical="center" wrapText="1"/>
    </x:xf>
    <x:xf numFmtId="200" fontId="5" fillId="5" borderId="8" xfId="0" applyNumberFormat="1" applyFont="1" applyFill="1" applyBorder="1" applyAlignment="1">
      <x:alignment vertical="center" wrapText="1"/>
    </x:xf>
    <x:xf numFmtId="200" fontId="5" fillId="5" borderId="2" xfId="0" applyNumberFormat="1" applyFont="1" applyFill="1" applyBorder="1" applyAlignment="1">
      <x:alignment vertical="center" wrapText="1"/>
    </x:xf>
    <x:xf numFmtId="200" fontId="5" fillId="0" borderId="5" xfId="0" applyNumberFormat="1" applyFont="1" applyFill="1" applyBorder="1" applyAlignment="1">
      <x:alignment vertical="center" wrapText="1"/>
    </x:xf>
    <x:xf numFmtId="200" fontId="5" fillId="0" borderId="8" xfId="0" applyNumberFormat="1" applyFont="1" applyFill="1" applyBorder="1" applyAlignment="1">
      <x:alignment vertical="center" wrapText="1"/>
    </x:xf>
    <x:xf numFmtId="200" fontId="5" fillId="0" borderId="2" xfId="0" applyNumberFormat="1" applyFont="1" applyFill="1" applyBorder="1" applyAlignment="1">
      <x:alignment vertical="center" wrapText="1"/>
    </x:xf>
    <x:xf numFmtId="204" fontId="5" fillId="5" borderId="5" xfId="0" applyNumberFormat="1" applyFont="1" applyFill="1" applyBorder="1" applyAlignment="1">
      <x:alignment vertical="center" wrapText="1"/>
    </x:xf>
    <x:xf numFmtId="204" fontId="5" fillId="5" borderId="8" xfId="0" applyNumberFormat="1" applyFont="1" applyFill="1" applyBorder="1" applyAlignment="1">
      <x:alignment vertical="center" wrapText="1"/>
    </x:xf>
    <x:xf numFmtId="204" fontId="5" fillId="5" borderId="2" xfId="0" applyNumberFormat="1" applyFont="1" applyFill="1" applyBorder="1" applyAlignment="1">
      <x:alignment vertical="center" wrapText="1"/>
    </x:xf>
    <x:xf numFmtId="201" fontId="5" fillId="5" borderId="5" xfId="0" applyNumberFormat="1" applyFont="1" applyFill="1" applyBorder="1" applyAlignment="1">
      <x:alignment vertical="center" wrapText="1"/>
    </x:xf>
    <x:xf numFmtId="201" fontId="6" fillId="6" borderId="5" xfId="0" applyNumberFormat="1" applyFont="1" applyFill="1" applyBorder="1" applyAlignment="1">
      <x:alignment vertical="center" wrapText="1"/>
    </x:xf>
    <x:xf numFmtId="201" fontId="6" fillId="6" borderId="8" xfId="0" applyNumberFormat="1" applyFont="1" applyFill="1" applyBorder="1" applyAlignment="1">
      <x:alignment vertical="center" wrapText="1"/>
    </x:xf>
    <x:xf numFmtId="201" fontId="5" fillId="5" borderId="2" xfId="0" applyNumberFormat="1" applyFont="1" applyFill="1" applyBorder="1" applyAlignment="1">
      <x:alignment vertical="center" wrapText="1"/>
    </x:xf>
    <x:xf numFmtId="205" fontId="5" fillId="5" borderId="5" xfId="0" applyNumberFormat="1" applyFont="1" applyFill="1" applyBorder="1" applyAlignment="1">
      <x:alignment vertical="center" wrapText="1"/>
    </x:xf>
    <x:xf numFmtId="205" fontId="5" fillId="5" borderId="8" xfId="0" applyNumberFormat="1" applyFont="1" applyFill="1" applyBorder="1" applyAlignment="1">
      <x:alignment vertical="center" wrapText="1"/>
    </x:xf>
    <x:xf numFmtId="205" fontId="5" fillId="5" borderId="2" xfId="0" applyNumberFormat="1" applyFont="1" applyFill="1" applyBorder="1" applyAlignment="1">
      <x:alignment vertical="center" wrapText="1"/>
    </x:xf>
    <x:xf numFmtId="206" fontId="5" fillId="5" borderId="5" xfId="0" applyNumberFormat="1" applyFont="1" applyFill="1" applyBorder="1" applyAlignment="1">
      <x:alignment vertical="center" wrapText="1"/>
    </x:xf>
    <x:xf numFmtId="206" fontId="5" fillId="5" borderId="8" xfId="0" applyNumberFormat="1" applyFont="1" applyFill="1" applyBorder="1" applyAlignment="1">
      <x:alignment vertical="center" wrapText="1"/>
    </x:xf>
    <x:xf numFmtId="206" fontId="5" fillId="5" borderId="2" xfId="0" applyNumberFormat="1" applyFont="1" applyFill="1" applyBorder="1" applyAlignment="1">
      <x:alignment vertical="center" wrapText="1"/>
    </x:xf>
    <x:xf numFmtId="0" fontId="6" fillId="6" borderId="5" xfId="0" applyNumberFormat="1" applyFont="1" applyFill="1" applyBorder="1" applyAlignment="1">
      <x:alignment horizontal="right" vertical="center" wrapText="1"/>
    </x:xf>
    <x:xf numFmtId="0" fontId="6" fillId="6" borderId="8" xfId="0" applyNumberFormat="1" applyFont="1" applyFill="1" applyBorder="1" applyAlignment="1">
      <x:alignment horizontal="right" vertical="center" wrapText="1"/>
    </x:xf>
    <x:xf numFmtId="0" fontId="6" fillId="6" borderId="2" xfId="0" applyNumberFormat="1" applyFont="1" applyFill="1" applyBorder="1" applyAlignment="1">
      <x:alignment horizontal="right" vertical="center" wrapText="1"/>
    </x:xf>
    <x:xf numFmtId="0" fontId="6" fillId="6" borderId="5" xfId="0" applyNumberFormat="1" applyFont="1" applyFill="1" applyBorder="1" applyAlignment="1">
      <x:alignment horizontal="center" vertical="center" wrapText="1"/>
    </x:xf>
    <x:xf numFmtId="0" fontId="6" fillId="6" borderId="8" xfId="0" applyNumberFormat="1" applyFont="1" applyFill="1" applyBorder="1" applyAlignment="1">
      <x:alignment horizontal="center" vertical="center" wrapText="1"/>
    </x:xf>
    <x:xf numFmtId="0" fontId="6" fillId="6" borderId="2" xfId="0" applyNumberFormat="1" applyFont="1" applyFill="1" applyBorder="1" applyAlignment="1">
      <x:alignment horizontal="center" vertical="center" wrapText="1"/>
    </x:xf>
    <x:xf numFmtId="201" fontId="6" fillId="6" borderId="8" xfId="0" applyNumberFormat="1" applyFont="1" applyFill="1" applyBorder="1" applyAlignment="1">
      <x:alignment horizontal="right" vertical="center" wrapText="1"/>
    </x:xf>
    <x:xf numFmtId="0" fontId="9" fillId="2" borderId="0" xfId="0" applyNumberFormat="1" applyFont="1" applyFill="1" applyBorder="1"/>
    <x:xf numFmtId="0" fontId="9" fillId="2" borderId="0" xfId="0" applyNumberFormat="1" applyFont="1" applyFill="1" applyBorder="1" applyAlignment="1">
      <x:alignment vertical="center"/>
    </x:xf>
    <x:xf numFmtId="0" fontId="10" fillId="6" borderId="0" xfId="0" applyNumberFormat="1" applyFont="1" applyFill="1" applyBorder="1"/>
    <x:xf numFmtId="0" fontId="10" fillId="6" borderId="0" xfId="0" applyNumberFormat="1" applyFont="1" applyFill="1" applyBorder="1" applyAlignment="1">
      <x:alignment horizontal="center"/>
    </x:xf>
    <x:xf numFmtId="0" fontId="10" fillId="6" borderId="0" xfId="0" applyNumberFormat="1" applyFont="1" applyFill="1" applyBorder="1" applyAlignment="1">
      <x:alignment horizontal="center" vertical="center"/>
    </x:xf>
    <x:xf numFmtId="0" fontId="11" fillId="7" borderId="0" xfId="0" applyNumberFormat="1" applyFont="1" applyFill="1" applyBorder="1"/>
    <x:xf numFmtId="0" fontId="11" fillId="7" borderId="0" xfId="0" applyNumberFormat="1" applyFont="1" applyFill="1" applyBorder="1" applyAlignment="1">
      <x:alignment wrapText="1"/>
    </x:xf>
    <x:xf numFmtId="0" fontId="11" fillId="7" borderId="0" xfId="0" applyNumberFormat="1" applyFont="1" applyFill="1" applyBorder="1" applyAlignment="1">
      <x:alignment vertical="center" wrapText="1"/>
    </x:xf>
    <x:xf numFmtId="0" fontId="6" fillId="8" borderId="2" xfId="0" applyNumberFormat="1" applyFont="1" applyFill="1" applyBorder="1" applyAlignment="1">
      <x:alignment vertical="center" wrapText="1"/>
    </x:xf>
    <x:xf numFmtId="0" fontId="6" fillId="0" borderId="5" xfId="0" applyNumberFormat="1" applyFont="1" applyFill="1" applyBorder="1" applyAlignment="1">
      <x:alignment horizontal="center" vertical="center" wrapText="1"/>
    </x:xf>
    <x:xf numFmtId="0" fontId="6" fillId="0" borderId="8" xfId="0" applyNumberFormat="1" applyFont="1" applyFill="1" applyBorder="1" applyAlignment="1">
      <x:alignment horizontal="center" vertical="center" wrapText="1"/>
    </x:xf>
    <x:xf numFmtId="0" fontId="6" fillId="0" borderId="2" xfId="0" applyNumberFormat="1" applyFont="1" applyFill="1" applyBorder="1" applyAlignment="1">
      <x:alignment horizontal="center" vertical="center" wrapText="1"/>
    </x:xf>
    <x:xf numFmtId="0" fontId="12" fillId="0" borderId="0" xfId="0" applyNumberFormat="1" applyFont="1" applyFill="1" applyBorder="1"/>
  </x:cellXfs>
  <x:cellStyles count="1">
    <x:cellStyle name="Normal" xfId="0"/>
  </x:cellStyles>
  <x:dxfs count="62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color rgb="FF52606D"/>
      </x:font>
      <x:fill>
        <x:patternFill patternType="solid">
          <x:bgColor rgb="FFEEF2F6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color rgb="FF52606D"/>
      </x:font>
      <x:fill>
        <x:patternFill patternType="solid">
          <x:bgColor rgb="FFEEF2F6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color rgb="FF52606D"/>
      </x:font>
      <x:fill>
        <x:patternFill patternType="solid">
          <x:bgColor rgb="FFEEF2F6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color rgb="FF52606D"/>
      </x:font>
      <x:fill>
        <x:patternFill patternType="solid">
          <x:bgColor rgb="FFEEF2F6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color rgb="FF52606D"/>
      </x:font>
      <x:fill>
        <x:patternFill patternType="solid">
          <x:bgColor rgb="FFEEF2F6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color rgb="FF52606D"/>
      </x:font>
      <x:fill>
        <x:patternFill patternType="solid">
          <x:bgColor rgb="FFEEF2F6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color rgb="FF52606D"/>
      </x:font>
      <x:fill>
        <x:patternFill patternType="solid">
          <x:bgColor rgb="FFEEF2F6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color rgb="FF52606D"/>
      </x:font>
      <x:fill>
        <x:patternFill patternType="solid">
          <x:bgColor rgb="FFEEF2F6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9716b1109144a6" /><Relationship Type="http://schemas.openxmlformats.org/officeDocument/2006/relationships/theme" Target="/xl/theme/theme1.xml" Id="Ra5c7e80cb49e4ed4" /><Relationship Type="http://schemas.openxmlformats.org/officeDocument/2006/relationships/sharedStrings" Target="/xl/sharedStrings.xml" Id="R83873bd81168408f" /><Relationship Type="http://schemas.openxmlformats.org/officeDocument/2006/relationships/worksheet" Target="/xl/worksheets/sheet1.xml" Id="R18aac1686dbb41c6" /><Relationship Type="http://schemas.openxmlformats.org/officeDocument/2006/relationships/worksheet" Target="/xl/worksheets/sheet2.xml" Id="Rffdde02ea1454892" /><Relationship Type="http://schemas.openxmlformats.org/officeDocument/2006/relationships/worksheet" Target="/xl/worksheets/sheet3.xml" Id="Rfaa755fb49ac43bc" /><Relationship Type="http://schemas.openxmlformats.org/officeDocument/2006/relationships/worksheet" Target="/xl/worksheets/sheet4.xml" Id="R2ccc194472c64894" /><Relationship Type="http://schemas.openxmlformats.org/officeDocument/2006/relationships/worksheet" Target="/xl/worksheets/sheet5.xml" Id="R1cd879e8d2224e15" /><Relationship Type="http://schemas.openxmlformats.org/officeDocument/2006/relationships/worksheet" Target="/xl/worksheets/sheet6.xml" Id="R463b992a2ff74a65" /><Relationship Type="http://schemas.openxmlformats.org/officeDocument/2006/relationships/worksheet" Target="/xl/worksheets/sheet7.xml" Id="R05825ff40e3d46f0" /><Relationship Type="http://schemas.openxmlformats.org/officeDocument/2006/relationships/worksheet" Target="/xl/worksheets/sheet8.xml" Id="Ra91fbb6ff30c41bf" /><Relationship Type="http://schemas.openxmlformats.org/officeDocument/2006/relationships/worksheet" Target="/xl/worksheets/sheet9.xml" Id="Rc74a5cfbdf2f41c1" /><Relationship Type="http://schemas.openxmlformats.org/officeDocument/2006/relationships/worksheet" Target="/xl/worksheets/sheet10.xml" Id="R0071d4b646bd4269" /><Relationship Type="http://schemas.openxmlformats.org/officeDocument/2006/relationships/worksheet" Target="/xl/worksheets/sheet11.xml" Id="R12ce2f03491a4548" /><Relationship Type="http://schemas.openxmlformats.org/officeDocument/2006/relationships/worksheet" Target="/xl/worksheets/sheet12.xml" Id="R8c12436d83d14f0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75" hidden="0" customWidth="1"/>
    <x:col min="2" max="2" width="27.5" hidden="0" customWidth="1"/>
    <x:col min="3" max="3" width="21.25" hidden="0" customWidth="1"/>
    <x:col min="4" max="4" width="21.25" hidden="0" customWidth="1"/>
    <x:col min="5" max="5" width="21.25" hidden="0" customWidth="1"/>
    <x:col min="6" max="6" width="21.25" hidden="0" customWidth="1"/>
    <x:col min="7" max="7" width="21.25" hidden="0" customWidth="1"/>
    <x:col min="8" max="8" width="32.5" hidden="0" customWidth="1"/>
  </x:cols>
  <x:sheetData>
    <x:row r="1" ht="28.5" customHeight="1">
      <x:c r="A1" s="3" t="str">
        <x:v>游戏流水配置模板</x:v>
      </x:c>
      <x:c r="B1" s="3"/>
      <x:c r="C1" s="3"/>
      <x:c r="D1" s="3"/>
      <x:c r="E1" s="3"/>
      <x:c r="F1" s="3"/>
      <x:c r="G1" s="3"/>
      <x:c r="H1" s="3"/>
    </x:row>
    <x:row r="2" ht="19.5" customHeight="1">
      <x:c r="A2" s="6" t="str">
        <x:v>版本 1.0｜单游戏独立测算｜配置驱动</x:v>
      </x:c>
      <x:c r="B2" s="6"/>
      <x:c r="C2" s="6"/>
      <x:c r="D2" s="6"/>
      <x:c r="E2" s="6"/>
      <x:c r="F2" s="6"/>
      <x:c r="G2" s="6"/>
      <x:c r="H2" s="6"/>
    </x:row>
    <x:row r="3" ht="21" customHeight="1">
      <x:c r="A3" s="21" t="str">
        <x:v>请按工作表顺序填写。排名流水算法页已故意留空，等最终算法确定后再填；本模板不包含账号密码、Cookie、短信验证码或浏览器会话。</x:v>
      </x:c>
      <x:c r="B3" s="22"/>
      <x:c r="C3" s="22"/>
      <x:c r="D3" s="22"/>
      <x:c r="E3" s="22"/>
      <x:c r="F3" s="22"/>
      <x:c r="G3" s="22"/>
      <x:c r="H3" s="23"/>
    </x:row>
    <x:row r="4" ht="21" customHeight="1">
      <x:c r="A4" s="24"/>
      <x:c r="B4" s="25"/>
      <x:c r="C4" s="25"/>
      <x:c r="D4" s="25"/>
      <x:c r="E4" s="25"/>
      <x:c r="F4" s="25"/>
      <x:c r="G4" s="25"/>
      <x:c r="H4" s="26"/>
    </x:row>
    <x:row r="6" ht="31.5" customHeight="1">
      <x:c r="A6" s="31" t="str">
        <x:v>模板信息</x:v>
      </x:c>
      <x:c r="B6" s="31" t="str">
        <x:v>值</x:v>
      </x:c>
      <x:c r="D6" s="31" t="str">
        <x:v>计算口径</x:v>
      </x:c>
      <x:c r="E6" s="31"/>
      <x:c r="F6" s="31"/>
      <x:c r="G6" s="31"/>
      <x:c r="H6" s="31"/>
    </x:row>
    <x:row r="7" ht="22.5" customHeight="1">
      <x:c r="A7" s="52" t="str">
        <x:v>模板版本</x:v>
      </x:c>
      <x:c r="B7" s="54" t="str">
        <x:v>1.0</x:v>
      </x:c>
      <x:c r="D7" s="63" t="str">
        <x:v>1. 每个排名时间段先换算为 iOS 流水，再按持续时间加权得到日流水。</x:v>
      </x:c>
      <x:c r="E7" s="63"/>
      <x:c r="F7" s="63"/>
      <x:c r="G7" s="63"/>
      <x:c r="H7" s="63"/>
    </x:row>
    <x:row r="8" ht="22.5" customHeight="1">
      <x:c r="A8" s="52" t="str">
        <x:v>生成日期</x:v>
      </x:c>
      <x:c r="B8" s="55" t="n">
        <x:v>46229</x:v>
      </x:c>
      <x:c r="D8" s="64" t="str">
        <x:v>2. 移动端总流水 = iOS 流水 × iOS到移动端系数。</x:v>
      </x:c>
      <x:c r="E8" s="64"/>
      <x:c r="F8" s="64"/>
      <x:c r="G8" s="64"/>
      <x:c r="H8" s="64"/>
    </x:row>
    <x:row r="9" ht="22.5" customHeight="1">
      <x:c r="A9" s="52" t="str">
        <x:v>报表时区</x:v>
      </x:c>
      <x:c r="B9" s="54" t="str">
        <x:v>Asia/Shanghai</x:v>
      </x:c>
      <x:c r="D9" s="64" t="str">
        <x:v>3. 全渠道总流水 = 移动端总流水 × 移动端到全渠道系数。</x:v>
      </x:c>
      <x:c r="E9" s="64"/>
      <x:c r="F9" s="64"/>
      <x:c r="G9" s="64"/>
      <x:c r="H9" s="64"/>
    </x:row>
    <x:row r="10" ht="22.5" customHeight="1">
      <x:c r="A10" s="52" t="str">
        <x:v>汇总币种</x:v>
      </x:c>
      <x:c r="B10" s="54" t="str">
        <x:v>CNY</x:v>
      </x:c>
      <x:c r="D10" s="64" t="str">
        <x:v>4. 分成后收入 = iOS、其他移动端、其他渠道分别扣除分成后相加。</x:v>
      </x:c>
      <x:c r="E10" s="64"/>
      <x:c r="F10" s="64"/>
      <x:c r="G10" s="64"/>
      <x:c r="H10" s="64"/>
    </x:row>
    <x:row r="11" ht="22.5" customHeight="1">
      <x:c r="A11" s="52" t="str">
        <x:v>算法状态</x:v>
      </x:c>
      <x:c r="B11" s="54" t="str">
        <x:v>待填写</x:v>
      </x:c>
      <x:c r="D11" s="64" t="str">
        <x:v>5. 月流水 = 当月每日流水逐日相加；不预测未来日期。</x:v>
      </x:c>
      <x:c r="E11" s="64"/>
      <x:c r="F11" s="64"/>
      <x:c r="G11" s="64"/>
      <x:c r="H11" s="64"/>
    </x:row>
    <x:row r="12" ht="22.5" customHeight="1">
      <x:c r="D12" s="65" t="str">
        <x:v>6. 七麦、点点、混合三套结果分别保留；同时间冲突时混合结果各占 50%。</x:v>
      </x:c>
      <x:c r="E12" s="65"/>
      <x:c r="F12" s="65"/>
      <x:c r="G12" s="65"/>
      <x:c r="H12" s="65"/>
    </x:row>
    <x:row r="14" ht="31.5" customHeight="1">
      <x:c r="A14" s="31" t="str">
        <x:v>填写顺序</x:v>
      </x:c>
      <x:c r="B14" s="31"/>
      <x:c r="C14" s="31"/>
      <x:c r="D14" s="31"/>
      <x:c r="E14" s="31"/>
      <x:c r="F14" s="31"/>
      <x:c r="G14" s="31"/>
      <x:c r="H14" s="31"/>
    </x:row>
    <x:row r="15" ht="25.5" customHeight="1">
      <x:c r="A15" s="76" t="str">
        <x:v>1</x:v>
      </x:c>
      <x:c r="B15" s="76" t="str">
        <x:v>游戏配置</x:v>
      </x:c>
      <x:c r="C15" s="76" t="str">
        <x:v>建立游戏主体</x:v>
      </x:c>
      <x:c r="D15" s="76" t="str">
        <x:v>2</x:v>
      </x:c>
      <x:c r="E15" s="76" t="str">
        <x:v>国家地区</x:v>
      </x:c>
      <x:c r="F15" s="76" t="str">
        <x:v>确认市场、币种和来源编码</x:v>
      </x:c>
      <x:c r="G15" s="76" t="str">
        <x:v>3</x:v>
      </x:c>
      <x:c r="H15" s="76" t="str">
        <x:v>AppID映射</x:v>
      </x:c>
    </x:row>
    <x:row r="16" ht="25.5" customHeight="1">
      <x:c r="A16" s="77" t="str">
        <x:v>4</x:v>
      </x:c>
      <x:c r="B16" s="77" t="str">
        <x:v>榜单监控</x:v>
      </x:c>
      <x:c r="C16" s="77" t="str">
        <x:v>选择来源、设备和榜单</x:v>
      </x:c>
      <x:c r="D16" s="77" t="str">
        <x:v>5</x:v>
      </x:c>
      <x:c r="E16" s="77" t="str">
        <x:v>渠道系数</x:v>
      </x:c>
      <x:c r="F16" s="77" t="str">
        <x:v>填写逐级乘数</x:v>
      </x:c>
      <x:c r="G16" s="77" t="str">
        <x:v>6</x:v>
      </x:c>
      <x:c r="H16" s="77" t="str">
        <x:v>分成比例</x:v>
      </x:c>
    </x:row>
    <x:row r="17" ht="25.5" customHeight="1">
      <x:c r="A17" s="77" t="str">
        <x:v>7</x:v>
      </x:c>
      <x:c r="B17" s="77" t="str">
        <x:v>排名流水算法</x:v>
      </x:c>
      <x:c r="C17" s="77" t="str">
        <x:v>最后填写；当前留空</x:v>
      </x:c>
      <x:c r="D17" s="77" t="str">
        <x:v>8</x:v>
      </x:c>
      <x:c r="E17" s="77" t="str">
        <x:v>汇率配置</x:v>
      </x:c>
      <x:c r="F17" s="77" t="str">
        <x:v>接入或补充历史汇率</x:v>
      </x:c>
      <x:c r="G17" s="77" t="str">
        <x:v>9</x:v>
      </x:c>
      <x:c r="H17" s="77" t="str">
        <x:v>检查清单</x:v>
      </x:c>
    </x:row>
    <x:row r="18" ht="25.5" customHeight="1">
      <x:c r="A18" s="74" t="str"/>
      <x:c r="B18" s="74" t="str"/>
      <x:c r="C18" s="74" t="str"/>
      <x:c r="D18" s="74" t="str"/>
      <x:c r="E18" s="74" t="str"/>
      <x:c r="F18" s="74" t="str"/>
      <x:c r="G18" s="74" t="str"/>
      <x:c r="H18" s="74" t="str"/>
    </x:row>
    <x:row r="19" ht="25.5" customHeight="1">
      <x:c r="A19" s="78" t="str">
        <x:v>输入标识</x:v>
      </x:c>
      <x:c r="B19" s="78" t="str">
        <x:v>蓝字</x:v>
      </x:c>
      <x:c r="C19" s="78" t="str">
        <x:v>可编辑输入</x:v>
      </x:c>
      <x:c r="D19" s="78" t="str">
        <x:v>必填标识</x:v>
      </x:c>
      <x:c r="E19" s="78" t="str">
        <x:v>浅黄色</x:v>
      </x:c>
      <x:c r="F19" s="78" t="str">
        <x:v>必填区域</x:v>
      </x:c>
      <x:c r="G19" s="78" t="str">
        <x:v>公式标识</x:v>
      </x:c>
      <x:c r="H19" s="78" t="str">
        <x:v>灰底黑字</x:v>
      </x:c>
    </x:row>
    <x:row r="20" ht="25.5" customHeight="1">
      <x:c r="A20" s="78" t="str">
        <x:v>发布规则</x:v>
      </x:c>
      <x:c r="B20" s="78" t="str">
        <x:v>草稿 → 校验 → 已发布</x:v>
      </x:c>
      <x:c r="C20" s="78" t="str">
        <x:v>测算只读取已发布版本</x:v>
      </x:c>
      <x:c r="D20" s="78" t="str">
        <x:v>历史规则</x:v>
      </x:c>
      <x:c r="E20" s="78" t="str">
        <x:v>版本 + 生效日期</x:v>
      </x:c>
      <x:c r="F20" s="78" t="str">
        <x:v>旧结果不静默改变</x:v>
      </x:c>
      <x:c r="G20" s="78" t="str">
        <x:v>缺失规则</x:v>
      </x:c>
      <x:c r="H20" s="78" t="str">
        <x:v>标记覆盖率，不造数</x:v>
      </x:c>
    </x:row>
    <x:row r="21" ht="25.5" customHeight="1">
      <x:c r="A21" s="78" t="str">
        <x:v>安全边界</x:v>
      </x:c>
      <x:c r="B21" s="78" t="str">
        <x:v>不填账号密码</x:v>
      </x:c>
      <x:c r="C21" s="78" t="str">
        <x:v>不填 Cookie/验证码</x:v>
      </x:c>
      <x:c r="D21" s="78" t="str">
        <x:v>登录方式</x:v>
      </x:c>
      <x:c r="E21" s="78" t="str">
        <x:v>可见浏览器</x:v>
      </x:c>
      <x:c r="F21" s="78" t="str">
        <x:v>由管理员完成认证</x:v>
      </x:c>
      <x:c r="G21" s="78" t="str">
        <x:v>榜单数据</x:v>
      </x:c>
      <x:c r="H21" s="78" t="str">
        <x:v>仅自动获取</x:v>
      </x:c>
    </x:row>
    <x:row r="22" ht="25.5" customHeight="1">
      <x:c r="A22" s="78" t="str">
        <x:v>来源规则</x:v>
      </x:c>
      <x:c r="B22" s="78" t="str">
        <x:v>七麦/点点独立</x:v>
      </x:c>
      <x:c r="C22" s="78" t="str">
        <x:v>混合取最新刷新</x:v>
      </x:c>
      <x:c r="D22" s="78" t="str">
        <x:v>并列规则</x:v>
      </x:c>
      <x:c r="E22" s="78" t="str">
        <x:v>50% + 50%</x:v>
      </x:c>
      <x:c r="F22" s="78" t="str">
        <x:v>先换算流水再合成</x:v>
      </x:c>
      <x:c r="G22" s="78" t="str">
        <x:v>跨日规则</x:v>
      </x:c>
      <x:c r="H22" s="78" t="str">
        <x:v>最多沿用 24 小时</x:v>
      </x:c>
    </x:row>
    <x:row r="23" ht="25.5" customHeight="1">
      <x:c r="A23" s="79" t="str">
        <x:v>汇总范围</x:v>
      </x:c>
      <x:c r="B23" s="79" t="str">
        <x:v>单游戏</x:v>
      </x:c>
      <x:c r="C23" s="79" t="str">
        <x:v>不做跨游戏总计</x:v>
      </x:c>
      <x:c r="D23" s="79" t="str">
        <x:v>日报</x:v>
      </x:c>
      <x:c r="E23" s="79" t="str">
        <x:v>北京时间</x:v>
      </x:c>
      <x:c r="F23" s="79" t="str">
        <x:v>按持续时间加权</x:v>
      </x:c>
      <x:c r="G23" s="79" t="str">
        <x:v>月报</x:v>
      </x:c>
      <x:c r="H23" s="79" t="str">
        <x:v>每日流水求和</x:v>
      </x:c>
    </x:row>
  </x:sheetData>
  <x:mergeCells>
    <x:mergeCell ref="A1:H1"/>
    <x:mergeCell ref="A2:H2"/>
    <x:mergeCell ref="A3:H4"/>
    <x:mergeCell ref="D6:H6"/>
    <x:mergeCell ref="D7:H7"/>
    <x:mergeCell ref="D8:H8"/>
    <x:mergeCell ref="D9:H9"/>
    <x:mergeCell ref="D10:H10"/>
    <x:mergeCell ref="D11:H11"/>
    <x:mergeCell ref="D12:H12"/>
    <x:mergeCell ref="A14:H14"/>
  </x:mergeCells>
  <x:conditionalFormatting sqref="B11:B11">
    <x:cfRule type="containsText" dxfId="0" priority="1" operator="containsText" text="OK"/>
    <x:cfRule type="containsText" dxfId="1" priority="2" operator="containsText" text="通过"/>
    <x:cfRule type="containsText" dxfId="2" priority="3" operator="containsText" text="待填写"/>
    <x:cfRule type="containsText" dxfId="3" priority="4" operator="containsText" text="待修正"/>
    <x:cfRule type="containsText" dxfId="4" priority="5" operator="containsText" text="错误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.380001068115234" hidden="0" customWidth="1"/>
    <x:col min="2" max="2" width="22.5" hidden="0" customWidth="1"/>
    <x:col min="3" max="3" width="29.3799991607666" hidden="0" customWidth="1"/>
    <x:col min="4" max="4" width="13.75" hidden="0" customWidth="1"/>
    <x:col min="5" max="5" width="10" hidden="0" customWidth="1"/>
    <x:col min="6" max="6" width="23.75" hidden="0" customWidth="1"/>
    <x:col min="7" max="7" width="45" hidden="0" customWidth="1"/>
  </x:cols>
  <x:sheetData>
    <x:row r="1" ht="28.5" customHeight="1">
      <x:c r="A1" s="3" t="str">
        <x:v>系统设置</x:v>
      </x:c>
      <x:c r="B1" s="3"/>
      <x:c r="C1" s="3"/>
      <x:c r="D1" s="3"/>
      <x:c r="E1" s="3"/>
      <x:c r="F1" s="3"/>
      <x:c r="G1" s="3"/>
    </x:row>
    <x:row r="2" ht="19.5" customHeight="1">
      <x:c r="A2" s="6" t="str">
        <x:v>系统级固定口径与默认行为</x:v>
      </x:c>
      <x:c r="B2" s="6"/>
      <x:c r="C2" s="6"/>
      <x:c r="D2" s="6"/>
      <x:c r="E2" s="6"/>
      <x:c r="F2" s="6"/>
      <x:c r="G2" s="6"/>
    </x:row>
    <x:row r="3" ht="21" customHeight="1">
      <x:c r="A3" s="21" t="str">
        <x:v>蓝字为可编辑配置；带 * 的字段必填。修改 setting_key 会导致系统无法识别，请只修改 setting_value。</x:v>
      </x:c>
      <x:c r="B3" s="22"/>
      <x:c r="C3" s="22"/>
      <x:c r="D3" s="22"/>
      <x:c r="E3" s="22"/>
      <x:c r="F3" s="22"/>
      <x:c r="G3" s="23"/>
    </x:row>
    <x:row r="4" ht="21" customHeight="1">
      <x:c r="A4" s="24"/>
      <x:c r="B4" s="25"/>
      <x:c r="C4" s="25"/>
      <x:c r="D4" s="25"/>
      <x:c r="E4" s="25"/>
      <x:c r="F4" s="25"/>
      <x:c r="G4" s="26"/>
    </x:row>
    <x:row r="5">
      <x:c r="A5" s="130"/>
      <x:c r="B5" s="130"/>
      <x:c r="C5" s="130"/>
      <x:c r="D5" s="130"/>
      <x:c r="E5" s="130"/>
      <x:c r="F5" s="130"/>
      <x:c r="G5" s="130"/>
    </x:row>
    <x:row r="6" ht="43.5" customHeight="1">
      <x:c r="A6" s="31" t="str">
        <x:v>setting_key
设置键 *</x:v>
      </x:c>
      <x:c r="B6" s="31" t="str">
        <x:v>setting_name
设置名称 *</x:v>
      </x:c>
      <x:c r="C6" s="31" t="str">
        <x:v>setting_value
配置值 *</x:v>
      </x:c>
      <x:c r="D6" s="31" t="str">
        <x:v>data_type
数据类型 *</x:v>
      </x:c>
      <x:c r="E6" s="31" t="str">
        <x:v>required
必填 *</x:v>
      </x:c>
      <x:c r="F6" s="31" t="str">
        <x:v>allowed_values_or_range
允许值或范围</x:v>
      </x:c>
      <x:c r="G6" s="31" t="str">
        <x:v>description
说明</x:v>
      </x:c>
    </x:row>
    <x:row r="7" ht="18" customHeight="1">
      <x:c r="A7" s="82" t="str">
        <x:v>report_timezone</x:v>
      </x:c>
      <x:c r="B7" s="42" t="str">
        <x:v>报表时区</x:v>
      </x:c>
      <x:c r="C7" s="42" t="str">
        <x:v>Asia/Shanghai</x:v>
      </x:c>
      <x:c r="D7" s="82" t="str">
        <x:v>text</x:v>
      </x:c>
      <x:c r="E7" s="82" t="str">
        <x:v>是</x:v>
      </x:c>
      <x:c r="F7" s="73" t="str">
        <x:v>IANA 时区</x:v>
      </x:c>
      <x:c r="G7" s="73" t="str">
        <x:v>所有日报和月报统一按北京时间切日。</x:v>
      </x:c>
    </x:row>
    <x:row r="8" ht="18" customHeight="1">
      <x:c r="A8" s="83" t="str">
        <x:v>base_currency</x:v>
      </x:c>
      <x:c r="B8" s="43" t="str">
        <x:v>汇总币种</x:v>
      </x:c>
      <x:c r="C8" s="43" t="str">
        <x:v>CNY</x:v>
      </x:c>
      <x:c r="D8" s="83" t="str">
        <x:v>text</x:v>
      </x:c>
      <x:c r="E8" s="83" t="str">
        <x:v>是</x:v>
      </x:c>
      <x:c r="F8" s="74" t="str">
        <x:v>ISO 4217</x:v>
      </x:c>
      <x:c r="G8" s="74" t="str">
        <x:v>国内、海外和全球汇总统一显示人民币。</x:v>
      </x:c>
    </x:row>
    <x:row r="9" ht="18" customHeight="1">
      <x:c r="A9" s="83" t="str">
        <x:v>sync_interval_minutes</x:v>
      </x:c>
      <x:c r="B9" s="43" t="str">
        <x:v>默认同步间隔</x:v>
      </x:c>
      <x:c r="C9" s="81" t="n">
        <x:v>60</x:v>
      </x:c>
      <x:c r="D9" s="83" t="str">
        <x:v>integer</x:v>
      </x:c>
      <x:c r="E9" s="83" t="str">
        <x:v>是</x:v>
      </x:c>
      <x:c r="F9" s="74" t="str">
        <x:v>30-1440</x:v>
      </x:c>
      <x:c r="G9" s="74" t="str">
        <x:v>默认每小时同步，并支持手动触发。</x:v>
      </x:c>
    </x:row>
    <x:row r="10" ht="18" customHeight="1">
      <x:c r="A10" s="83" t="str">
        <x:v>carry_forward_hours</x:v>
      </x:c>
      <x:c r="B10" s="43" t="str">
        <x:v>排名最大沿用时长</x:v>
      </x:c>
      <x:c r="C10" s="81" t="n">
        <x:v>24</x:v>
      </x:c>
      <x:c r="D10" s="83" t="str">
        <x:v>integer</x:v>
      </x:c>
      <x:c r="E10" s="83" t="str">
        <x:v>是</x:v>
      </x:c>
      <x:c r="F10" s="74" t="str">
        <x:v>0-24</x:v>
      </x:c>
      <x:c r="G10" s="74" t="str">
        <x:v>跨日可沿用上一条排名，超过后标记缺失。</x:v>
      </x:c>
    </x:row>
    <x:row r="11" ht="18" customHeight="1">
      <x:c r="A11" s="83" t="str">
        <x:v>qimai_same_timestamp_weight</x:v>
      </x:c>
      <x:c r="B11" s="43" t="str">
        <x:v>同时间七麦权重</x:v>
      </x:c>
      <x:c r="C11" s="80" t="n">
        <x:v>0.5</x:v>
      </x:c>
      <x:c r="D11" s="83" t="str">
        <x:v>decimal</x:v>
      </x:c>
      <x:c r="E11" s="83" t="str">
        <x:v>是</x:v>
      </x:c>
      <x:c r="F11" s="74" t="str">
        <x:v>0-1</x:v>
      </x:c>
      <x:c r="G11" s="74" t="str">
        <x:v>七麦与点点刷新时间相同且排名不同时使用。</x:v>
      </x:c>
    </x:row>
    <x:row r="12" ht="18" customHeight="1">
      <x:c r="A12" s="83" t="str">
        <x:v>diandian_same_timestamp_weight</x:v>
      </x:c>
      <x:c r="B12" s="43" t="str">
        <x:v>同时间点点权重</x:v>
      </x:c>
      <x:c r="C12" s="80" t="n">
        <x:v>0.5</x:v>
      </x:c>
      <x:c r="D12" s="83" t="str">
        <x:v>decimal</x:v>
      </x:c>
      <x:c r="E12" s="83" t="str">
        <x:v>是</x:v>
      </x:c>
      <x:c r="F12" s="74" t="str">
        <x:v>0-1</x:v>
      </x:c>
      <x:c r="G12" s="74" t="str">
        <x:v>两项权重之和必须等于 1。</x:v>
      </x:c>
    </x:row>
    <x:row r="13" ht="18" customHeight="1">
      <x:c r="A13" s="83" t="str">
        <x:v>monthly_rollup_method</x:v>
      </x:c>
      <x:c r="B13" s="43" t="str">
        <x:v>月度汇总方式</x:v>
      </x:c>
      <x:c r="C13" s="43" t="str">
        <x:v>sum_daily</x:v>
      </x:c>
      <x:c r="D13" s="83" t="str">
        <x:v>text</x:v>
      </x:c>
      <x:c r="E13" s="83" t="str">
        <x:v>是</x:v>
      </x:c>
      <x:c r="F13" s="74" t="str">
        <x:v>sum_daily</x:v>
      </x:c>
      <x:c r="G13" s="74" t="str">
        <x:v>月流水仅为每日流水逐日相加。</x:v>
      </x:c>
    </x:row>
    <x:row r="14" ht="18" customHeight="1">
      <x:c r="A14" s="83" t="str">
        <x:v>manual_ranking_import_enabled</x:v>
      </x:c>
      <x:c r="B14" s="43" t="str">
        <x:v>榜单人工导入</x:v>
      </x:c>
      <x:c r="C14" s="43" t="str">
        <x:v>false</x:v>
      </x:c>
      <x:c r="D14" s="83" t="str">
        <x:v>boolean</x:v>
      </x:c>
      <x:c r="E14" s="83" t="str">
        <x:v>是</x:v>
      </x:c>
      <x:c r="F14" s="74" t="str">
        <x:v>false</x:v>
      </x:c>
      <x:c r="G14" s="74" t="str">
        <x:v>榜单原始数据只允许自动获取。</x:v>
      </x:c>
    </x:row>
    <x:row r="15" ht="18" customHeight="1">
      <x:c r="A15" s="83" t="str">
        <x:v>login_mode</x:v>
      </x:c>
      <x:c r="B15" s="43" t="str">
        <x:v>登录方式</x:v>
      </x:c>
      <x:c r="C15" s="43" t="str">
        <x:v>visible_browser_manual_auth</x:v>
      </x:c>
      <x:c r="D15" s="83" t="str">
        <x:v>text</x:v>
      </x:c>
      <x:c r="E15" s="83" t="str">
        <x:v>是</x:v>
      </x:c>
      <x:c r="F15" s="74" t="str">
        <x:v>visible_browser_manual_auth</x:v>
      </x:c>
      <x:c r="G15" s="74" t="str">
        <x:v>管理员在可见浏览器完成扫码、短信或验证。</x:v>
      </x:c>
    </x:row>
    <x:row r="16" ht="18" customHeight="1">
      <x:c r="A16" s="83" t="str">
        <x:v>account_mode</x:v>
      </x:c>
      <x:c r="B16" s="43" t="str">
        <x:v>账号模式</x:v>
      </x:c>
      <x:c r="C16" s="43" t="str">
        <x:v>single_admin</x:v>
      </x:c>
      <x:c r="D16" s="83" t="str">
        <x:v>text</x:v>
      </x:c>
      <x:c r="E16" s="83" t="str">
        <x:v>是</x:v>
      </x:c>
      <x:c r="F16" s="74" t="str">
        <x:v>single_admin</x:v>
      </x:c>
      <x:c r="G16" s="74" t="str">
        <x:v>V1 使用单管理员账号。</x:v>
      </x:c>
    </x:row>
    <x:row r="17" ht="18" customHeight="1">
      <x:c r="A17" s="83" t="str">
        <x:v>estimation_scenarios</x:v>
      </x:c>
      <x:c r="B17" s="43" t="str">
        <x:v>估值情景</x:v>
      </x:c>
      <x:c r="C17" s="43" t="str">
        <x:v>conservative,base,optimistic</x:v>
      </x:c>
      <x:c r="D17" s="83" t="str">
        <x:v>list</x:v>
      </x:c>
      <x:c r="E17" s="83" t="str">
        <x:v>是</x:v>
      </x:c>
      <x:c r="F17" s="74" t="str">
        <x:v>固定三档</x:v>
      </x:c>
      <x:c r="G17" s="74" t="str">
        <x:v>保守、基准、乐观三档估值。</x:v>
      </x:c>
    </x:row>
    <x:row r="18" ht="18" customHeight="1">
      <x:c r="A18" s="83" t="str">
        <x:v>mixed_source_mode</x:v>
      </x:c>
      <x:c r="B18" s="43" t="str">
        <x:v>混合来源规则</x:v>
      </x:c>
      <x:c r="C18" s="43" t="str">
        <x:v>latest_refresh</x:v>
      </x:c>
      <x:c r="D18" s="83" t="str">
        <x:v>text</x:v>
      </x:c>
      <x:c r="E18" s="83" t="str">
        <x:v>是</x:v>
      </x:c>
      <x:c r="F18" s="74" t="str">
        <x:v>latest_refresh</x:v>
      </x:c>
      <x:c r="G18" s="74" t="str">
        <x:v>混合时间线始终采用最新刷新记录。</x:v>
      </x:c>
    </x:row>
    <x:row r="19" ht="18" customHeight="1">
      <x:c r="A19" s="83" t="str">
        <x:v>stale_data_action</x:v>
      </x:c>
      <x:c r="B19" s="43" t="str">
        <x:v>过期数据处理</x:v>
      </x:c>
      <x:c r="C19" s="43" t="str">
        <x:v>mark_missing</x:v>
      </x:c>
      <x:c r="D19" s="83" t="str">
        <x:v>text</x:v>
      </x:c>
      <x:c r="E19" s="83" t="str">
        <x:v>是</x:v>
      </x:c>
      <x:c r="F19" s="74" t="str">
        <x:v>mark_missing</x:v>
      </x:c>
      <x:c r="G19" s="74" t="str">
        <x:v>不静默补数，显示覆盖率。</x:v>
      </x:c>
    </x:row>
    <x:row r="20" ht="18" customHeight="1">
      <x:c r="A20" s="83" t="str">
        <x:v>algorithm_out_of_range_action</x:v>
      </x:c>
      <x:c r="B20" s="43" t="str">
        <x:v>算法超范围处理</x:v>
      </x:c>
      <x:c r="C20" s="43" t="str">
        <x:v>unavailable</x:v>
      </x:c>
      <x:c r="D20" s="83" t="str">
        <x:v>text</x:v>
      </x:c>
      <x:c r="E20" s="83" t="str">
        <x:v>是</x:v>
      </x:c>
      <x:c r="F20" s="74" t="str">
        <x:v>unavailable</x:v>
      </x:c>
      <x:c r="G20" s="74" t="str">
        <x:v>未配置排名区间默认不可测算。</x:v>
      </x:c>
    </x:row>
    <x:row r="21" ht="18" customHeight="1">
      <x:c r="A21" s="43"/>
      <x:c r="B21" s="43"/>
      <x:c r="C21" s="43"/>
      <x:c r="D21" s="43"/>
      <x:c r="E21" s="43"/>
      <x:c r="F21" s="40"/>
      <x:c r="G21" s="40"/>
    </x:row>
    <x:row r="22" ht="18" customHeight="1">
      <x:c r="A22" s="43"/>
      <x:c r="B22" s="43"/>
      <x:c r="C22" s="43"/>
      <x:c r="D22" s="43"/>
      <x:c r="E22" s="43"/>
      <x:c r="F22" s="40"/>
      <x:c r="G22" s="40"/>
    </x:row>
    <x:row r="23" ht="18" customHeight="1">
      <x:c r="A23" s="43"/>
      <x:c r="B23" s="43"/>
      <x:c r="C23" s="43"/>
      <x:c r="D23" s="43"/>
      <x:c r="E23" s="43"/>
      <x:c r="F23" s="40"/>
      <x:c r="G23" s="40"/>
    </x:row>
    <x:row r="24" ht="18" customHeight="1">
      <x:c r="A24" s="43"/>
      <x:c r="B24" s="43"/>
      <x:c r="C24" s="43"/>
      <x:c r="D24" s="43"/>
      <x:c r="E24" s="43"/>
      <x:c r="F24" s="40"/>
      <x:c r="G24" s="40"/>
    </x:row>
    <x:row r="25" ht="18" customHeight="1">
      <x:c r="A25" s="43"/>
      <x:c r="B25" s="43"/>
      <x:c r="C25" s="43"/>
      <x:c r="D25" s="43"/>
      <x:c r="E25" s="43"/>
      <x:c r="F25" s="40"/>
      <x:c r="G25" s="40"/>
    </x:row>
    <x:row r="26" ht="18" customHeight="1">
      <x:c r="A26" s="43"/>
      <x:c r="B26" s="43"/>
      <x:c r="C26" s="43"/>
      <x:c r="D26" s="43"/>
      <x:c r="E26" s="43"/>
      <x:c r="F26" s="40"/>
      <x:c r="G26" s="40"/>
    </x:row>
    <x:row r="27" ht="18" customHeight="1">
      <x:c r="A27" s="43"/>
      <x:c r="B27" s="43"/>
      <x:c r="C27" s="43"/>
      <x:c r="D27" s="43"/>
      <x:c r="E27" s="43"/>
      <x:c r="F27" s="40"/>
      <x:c r="G27" s="40"/>
    </x:row>
    <x:row r="28" ht="18" customHeight="1">
      <x:c r="A28" s="43"/>
      <x:c r="B28" s="43"/>
      <x:c r="C28" s="43"/>
      <x:c r="D28" s="43"/>
      <x:c r="E28" s="43"/>
      <x:c r="F28" s="40"/>
      <x:c r="G28" s="40"/>
    </x:row>
    <x:row r="29" ht="18" customHeight="1">
      <x:c r="A29" s="43"/>
      <x:c r="B29" s="43"/>
      <x:c r="C29" s="43"/>
      <x:c r="D29" s="43"/>
      <x:c r="E29" s="43"/>
      <x:c r="F29" s="40"/>
      <x:c r="G29" s="40"/>
    </x:row>
    <x:row r="30" ht="18" customHeight="1">
      <x:c r="A30" s="44"/>
      <x:c r="B30" s="44"/>
      <x:c r="C30" s="44"/>
      <x:c r="D30" s="44"/>
      <x:c r="E30" s="44"/>
      <x:c r="F30" s="41"/>
      <x:c r="G30" s="41"/>
    </x:row>
  </x:sheetData>
  <x:mergeCells>
    <x:mergeCell ref="A1:G1"/>
    <x:mergeCell ref="A2:G2"/>
    <x:mergeCell ref="A3:G4"/>
  </x:mergeCells>
  <x:conditionalFormatting sqref="A7:A30">
    <x:cfRule type="duplicateValues" dxfId="5" priority="1"/>
  </x:conditionalFormatting>
  <x:dataValidations count="4">
    <x:dataValidation type="list" sqref="E7:E30">
      <x:formula1>"是,否"</x:formula1>
    </x:dataValidation>
    <x:dataValidation type="whole" operator="between" sqref="C9">
      <x:formula1>30</x:formula1>
      <x:formula2>1440</x:formula2>
    </x:dataValidation>
    <x:dataValidation type="whole" operator="between" sqref="C10">
      <x:formula1>0</x:formula1>
      <x:formula2>24</x:formula2>
    </x:dataValidation>
    <x:dataValidation type="decimal" operator="between" sqref="C11:C12">
      <x:formula1>0</x:formula1>
      <x:formula2>1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75" hidden="0" customWidth="1"/>
    <x:col min="2" max="2" width="23.75" hidden="0" customWidth="1"/>
    <x:col min="3" max="3" width="22.5" hidden="0" customWidth="1"/>
    <x:col min="4" max="4" width="11.880000114440918" hidden="0" customWidth="1"/>
    <x:col min="5" max="5" width="15.630000114440918" hidden="0" customWidth="1"/>
    <x:col min="6" max="6" width="13.130000114440918" hidden="0" customWidth="1"/>
    <x:col min="7" max="7" width="14.380000114440918" hidden="0" customWidth="1"/>
    <x:col min="8" max="8" width="14.380000114440918" hidden="0" customWidth="1"/>
    <x:col min="9" max="9" width="37.5" hidden="0" customWidth="1"/>
  </x:cols>
  <x:sheetData>
    <x:row r="1" ht="28.5" customHeight="1">
      <x:c r="A1" s="3" t="str">
        <x:v>游戏配置</x:v>
      </x:c>
      <x:c r="B1" s="3"/>
      <x:c r="C1" s="3"/>
      <x:c r="D1" s="3"/>
      <x:c r="E1" s="3"/>
      <x:c r="F1" s="3"/>
      <x:c r="G1" s="3"/>
      <x:c r="H1" s="3"/>
      <x:c r="I1" s="3"/>
    </x:row>
    <x:row r="2" ht="19.5" customHeight="1">
      <x:c r="A2" s="6" t="str">
        <x:v>每款游戏独立测算；不做跨游戏合计</x:v>
      </x:c>
      <x:c r="B2" s="6"/>
      <x:c r="C2" s="6"/>
      <x:c r="D2" s="6"/>
      <x:c r="E2" s="6"/>
      <x:c r="F2" s="6"/>
      <x:c r="G2" s="6"/>
      <x:c r="H2" s="6"/>
      <x:c r="I2" s="6"/>
    </x:row>
    <x:row r="3" ht="21" customHeight="1">
      <x:c r="A3" s="21" t="str">
        <x:v>先填写游戏主体，再到 AppID映射、榜单监控、渠道系数和分成比例中引用 game_id。</x:v>
      </x:c>
      <x:c r="B3" s="22"/>
      <x:c r="C3" s="22"/>
      <x:c r="D3" s="22"/>
      <x:c r="E3" s="22"/>
      <x:c r="F3" s="22"/>
      <x:c r="G3" s="22"/>
      <x:c r="H3" s="22"/>
      <x:c r="I3" s="23"/>
    </x:row>
    <x:row r="4" ht="21" customHeight="1">
      <x:c r="A4" s="24"/>
      <x:c r="B4" s="25"/>
      <x:c r="C4" s="25"/>
      <x:c r="D4" s="25"/>
      <x:c r="E4" s="25"/>
      <x:c r="F4" s="25"/>
      <x:c r="G4" s="25"/>
      <x:c r="H4" s="25"/>
      <x:c r="I4" s="26"/>
    </x:row>
    <x:row r="5">
      <x:c r="A5" s="130"/>
      <x:c r="B5" s="130"/>
      <x:c r="C5" s="130"/>
      <x:c r="D5" s="130"/>
      <x:c r="E5" s="130"/>
      <x:c r="F5" s="130"/>
      <x:c r="G5" s="130"/>
      <x:c r="H5" s="130"/>
      <x:c r="I5" s="130"/>
    </x:row>
    <x:row r="6" ht="43.5" customHeight="1">
      <x:c r="A6" s="31" t="str">
        <x:v>game_id
游戏ID *</x:v>
      </x:c>
      <x:c r="B6" s="31" t="str">
        <x:v>game_name
游戏名称 *</x:v>
      </x:c>
      <x:c r="C6" s="31" t="str">
        <x:v>publisher
发行商</x:v>
      </x:c>
      <x:c r="D6" s="31" t="str">
        <x:v>enabled
启用状态 *</x:v>
      </x:c>
      <x:c r="E6" s="31" t="str">
        <x:v>monitoring_start_date
监控起始日期 *</x:v>
      </x:c>
      <x:c r="F6" s="31" t="str">
        <x:v>config_version
配置版本 *</x:v>
      </x:c>
      <x:c r="G6" s="31" t="str">
        <x:v>effective_date
生效日期 *</x:v>
      </x:c>
      <x:c r="H6" s="31" t="str">
        <x:v>end_date
失效日期</x:v>
      </x:c>
      <x:c r="I6" s="31" t="str">
        <x:v>notes
备注</x:v>
      </x:c>
    </x:row>
    <x:row r="7" ht="18" customHeight="1">
      <x:c r="A7" s="42"/>
      <x:c r="B7" s="42"/>
      <x:c r="C7" s="39"/>
      <x:c r="D7" s="42"/>
      <x:c r="E7" s="92"/>
      <x:c r="F7" s="42"/>
      <x:c r="G7" s="92"/>
      <x:c r="H7" s="95"/>
      <x:c r="I7" s="39"/>
    </x:row>
    <x:row r="8" ht="18" customHeight="1">
      <x:c r="A8" s="43"/>
      <x:c r="B8" s="43"/>
      <x:c r="C8" s="40"/>
      <x:c r="D8" s="43"/>
      <x:c r="E8" s="93"/>
      <x:c r="F8" s="43"/>
      <x:c r="G8" s="93"/>
      <x:c r="H8" s="96"/>
      <x:c r="I8" s="40"/>
    </x:row>
    <x:row r="9" ht="18" customHeight="1">
      <x:c r="A9" s="43"/>
      <x:c r="B9" s="43"/>
      <x:c r="C9" s="40"/>
      <x:c r="D9" s="43"/>
      <x:c r="E9" s="93"/>
      <x:c r="F9" s="43"/>
      <x:c r="G9" s="93"/>
      <x:c r="H9" s="96"/>
      <x:c r="I9" s="40"/>
    </x:row>
    <x:row r="10" ht="18" customHeight="1">
      <x:c r="A10" s="43"/>
      <x:c r="B10" s="43"/>
      <x:c r="C10" s="40"/>
      <x:c r="D10" s="43"/>
      <x:c r="E10" s="93"/>
      <x:c r="F10" s="43"/>
      <x:c r="G10" s="93"/>
      <x:c r="H10" s="96"/>
      <x:c r="I10" s="40"/>
    </x:row>
    <x:row r="11" ht="18" customHeight="1">
      <x:c r="A11" s="43"/>
      <x:c r="B11" s="43"/>
      <x:c r="C11" s="40"/>
      <x:c r="D11" s="43"/>
      <x:c r="E11" s="93"/>
      <x:c r="F11" s="43"/>
      <x:c r="G11" s="93"/>
      <x:c r="H11" s="96"/>
      <x:c r="I11" s="40"/>
    </x:row>
    <x:row r="12" ht="18" customHeight="1">
      <x:c r="A12" s="43"/>
      <x:c r="B12" s="43"/>
      <x:c r="C12" s="40"/>
      <x:c r="D12" s="43"/>
      <x:c r="E12" s="93"/>
      <x:c r="F12" s="43"/>
      <x:c r="G12" s="93"/>
      <x:c r="H12" s="96"/>
      <x:c r="I12" s="40"/>
    </x:row>
    <x:row r="13" ht="18" customHeight="1">
      <x:c r="A13" s="43"/>
      <x:c r="B13" s="43"/>
      <x:c r="C13" s="40"/>
      <x:c r="D13" s="43"/>
      <x:c r="E13" s="93"/>
      <x:c r="F13" s="43"/>
      <x:c r="G13" s="93"/>
      <x:c r="H13" s="96"/>
      <x:c r="I13" s="40"/>
    </x:row>
    <x:row r="14" ht="18" customHeight="1">
      <x:c r="A14" s="43"/>
      <x:c r="B14" s="43"/>
      <x:c r="C14" s="40"/>
      <x:c r="D14" s="43"/>
      <x:c r="E14" s="93"/>
      <x:c r="F14" s="43"/>
      <x:c r="G14" s="93"/>
      <x:c r="H14" s="96"/>
      <x:c r="I14" s="40"/>
    </x:row>
    <x:row r="15" ht="18" customHeight="1">
      <x:c r="A15" s="43"/>
      <x:c r="B15" s="43"/>
      <x:c r="C15" s="40"/>
      <x:c r="D15" s="43"/>
      <x:c r="E15" s="93"/>
      <x:c r="F15" s="43"/>
      <x:c r="G15" s="93"/>
      <x:c r="H15" s="96"/>
      <x:c r="I15" s="40"/>
    </x:row>
    <x:row r="16" ht="18" customHeight="1">
      <x:c r="A16" s="43"/>
      <x:c r="B16" s="43"/>
      <x:c r="C16" s="40"/>
      <x:c r="D16" s="43"/>
      <x:c r="E16" s="93"/>
      <x:c r="F16" s="43"/>
      <x:c r="G16" s="93"/>
      <x:c r="H16" s="96"/>
      <x:c r="I16" s="40"/>
    </x:row>
    <x:row r="17" ht="18" customHeight="1">
      <x:c r="A17" s="43"/>
      <x:c r="B17" s="43"/>
      <x:c r="C17" s="40"/>
      <x:c r="D17" s="43"/>
      <x:c r="E17" s="93"/>
      <x:c r="F17" s="43"/>
      <x:c r="G17" s="93"/>
      <x:c r="H17" s="96"/>
      <x:c r="I17" s="40"/>
    </x:row>
    <x:row r="18" ht="18" customHeight="1">
      <x:c r="A18" s="43"/>
      <x:c r="B18" s="43"/>
      <x:c r="C18" s="40"/>
      <x:c r="D18" s="43"/>
      <x:c r="E18" s="93"/>
      <x:c r="F18" s="43"/>
      <x:c r="G18" s="93"/>
      <x:c r="H18" s="96"/>
      <x:c r="I18" s="40"/>
    </x:row>
    <x:row r="19" ht="18" customHeight="1">
      <x:c r="A19" s="43"/>
      <x:c r="B19" s="43"/>
      <x:c r="C19" s="40"/>
      <x:c r="D19" s="43"/>
      <x:c r="E19" s="93"/>
      <x:c r="F19" s="43"/>
      <x:c r="G19" s="93"/>
      <x:c r="H19" s="96"/>
      <x:c r="I19" s="40"/>
    </x:row>
    <x:row r="20" ht="18" customHeight="1">
      <x:c r="A20" s="43"/>
      <x:c r="B20" s="43"/>
      <x:c r="C20" s="40"/>
      <x:c r="D20" s="43"/>
      <x:c r="E20" s="93"/>
      <x:c r="F20" s="43"/>
      <x:c r="G20" s="93"/>
      <x:c r="H20" s="96"/>
      <x:c r="I20" s="40"/>
    </x:row>
    <x:row r="21" ht="18" customHeight="1">
      <x:c r="A21" s="43"/>
      <x:c r="B21" s="43"/>
      <x:c r="C21" s="40"/>
      <x:c r="D21" s="43"/>
      <x:c r="E21" s="93"/>
      <x:c r="F21" s="43"/>
      <x:c r="G21" s="93"/>
      <x:c r="H21" s="96"/>
      <x:c r="I21" s="40"/>
    </x:row>
    <x:row r="22" ht="18" customHeight="1">
      <x:c r="A22" s="43"/>
      <x:c r="B22" s="43"/>
      <x:c r="C22" s="40"/>
      <x:c r="D22" s="43"/>
      <x:c r="E22" s="93"/>
      <x:c r="F22" s="43"/>
      <x:c r="G22" s="93"/>
      <x:c r="H22" s="96"/>
      <x:c r="I22" s="40"/>
    </x:row>
    <x:row r="23" ht="18" customHeight="1">
      <x:c r="A23" s="43"/>
      <x:c r="B23" s="43"/>
      <x:c r="C23" s="40"/>
      <x:c r="D23" s="43"/>
      <x:c r="E23" s="93"/>
      <x:c r="F23" s="43"/>
      <x:c r="G23" s="93"/>
      <x:c r="H23" s="96"/>
      <x:c r="I23" s="40"/>
    </x:row>
    <x:row r="24" ht="18" customHeight="1">
      <x:c r="A24" s="43"/>
      <x:c r="B24" s="43"/>
      <x:c r="C24" s="40"/>
      <x:c r="D24" s="43"/>
      <x:c r="E24" s="93"/>
      <x:c r="F24" s="43"/>
      <x:c r="G24" s="93"/>
      <x:c r="H24" s="96"/>
      <x:c r="I24" s="40"/>
    </x:row>
    <x:row r="25" ht="18" customHeight="1">
      <x:c r="A25" s="43"/>
      <x:c r="B25" s="43"/>
      <x:c r="C25" s="40"/>
      <x:c r="D25" s="43"/>
      <x:c r="E25" s="93"/>
      <x:c r="F25" s="43"/>
      <x:c r="G25" s="93"/>
      <x:c r="H25" s="96"/>
      <x:c r="I25" s="40"/>
    </x:row>
    <x:row r="26" ht="18" customHeight="1">
      <x:c r="A26" s="43"/>
      <x:c r="B26" s="43"/>
      <x:c r="C26" s="40"/>
      <x:c r="D26" s="43"/>
      <x:c r="E26" s="93"/>
      <x:c r="F26" s="43"/>
      <x:c r="G26" s="93"/>
      <x:c r="H26" s="96"/>
      <x:c r="I26" s="40"/>
    </x:row>
    <x:row r="27" ht="18" customHeight="1">
      <x:c r="A27" s="43"/>
      <x:c r="B27" s="43"/>
      <x:c r="C27" s="40"/>
      <x:c r="D27" s="43"/>
      <x:c r="E27" s="93"/>
      <x:c r="F27" s="43"/>
      <x:c r="G27" s="93"/>
      <x:c r="H27" s="96"/>
      <x:c r="I27" s="40"/>
    </x:row>
    <x:row r="28" ht="18" customHeight="1">
      <x:c r="A28" s="43"/>
      <x:c r="B28" s="43"/>
      <x:c r="C28" s="40"/>
      <x:c r="D28" s="43"/>
      <x:c r="E28" s="93"/>
      <x:c r="F28" s="43"/>
      <x:c r="G28" s="93"/>
      <x:c r="H28" s="96"/>
      <x:c r="I28" s="40"/>
    </x:row>
    <x:row r="29" ht="18" customHeight="1">
      <x:c r="A29" s="43"/>
      <x:c r="B29" s="43"/>
      <x:c r="C29" s="40"/>
      <x:c r="D29" s="43"/>
      <x:c r="E29" s="93"/>
      <x:c r="F29" s="43"/>
      <x:c r="G29" s="93"/>
      <x:c r="H29" s="96"/>
      <x:c r="I29" s="40"/>
    </x:row>
    <x:row r="30" ht="18" customHeight="1">
      <x:c r="A30" s="43"/>
      <x:c r="B30" s="43"/>
      <x:c r="C30" s="40"/>
      <x:c r="D30" s="43"/>
      <x:c r="E30" s="93"/>
      <x:c r="F30" s="43"/>
      <x:c r="G30" s="93"/>
      <x:c r="H30" s="96"/>
      <x:c r="I30" s="40"/>
    </x:row>
    <x:row r="31" ht="18" customHeight="1">
      <x:c r="A31" s="43"/>
      <x:c r="B31" s="43"/>
      <x:c r="C31" s="40"/>
      <x:c r="D31" s="43"/>
      <x:c r="E31" s="93"/>
      <x:c r="F31" s="43"/>
      <x:c r="G31" s="93"/>
      <x:c r="H31" s="96"/>
      <x:c r="I31" s="40"/>
    </x:row>
    <x:row r="32" ht="18" customHeight="1">
      <x:c r="A32" s="43"/>
      <x:c r="B32" s="43"/>
      <x:c r="C32" s="40"/>
      <x:c r="D32" s="43"/>
      <x:c r="E32" s="93"/>
      <x:c r="F32" s="43"/>
      <x:c r="G32" s="93"/>
      <x:c r="H32" s="96"/>
      <x:c r="I32" s="40"/>
    </x:row>
    <x:row r="33" ht="18" customHeight="1">
      <x:c r="A33" s="43"/>
      <x:c r="B33" s="43"/>
      <x:c r="C33" s="40"/>
      <x:c r="D33" s="43"/>
      <x:c r="E33" s="93"/>
      <x:c r="F33" s="43"/>
      <x:c r="G33" s="93"/>
      <x:c r="H33" s="96"/>
      <x:c r="I33" s="40"/>
    </x:row>
    <x:row r="34" ht="18" customHeight="1">
      <x:c r="A34" s="43"/>
      <x:c r="B34" s="43"/>
      <x:c r="C34" s="40"/>
      <x:c r="D34" s="43"/>
      <x:c r="E34" s="93"/>
      <x:c r="F34" s="43"/>
      <x:c r="G34" s="93"/>
      <x:c r="H34" s="96"/>
      <x:c r="I34" s="40"/>
    </x:row>
    <x:row r="35" ht="18" customHeight="1">
      <x:c r="A35" s="43"/>
      <x:c r="B35" s="43"/>
      <x:c r="C35" s="40"/>
      <x:c r="D35" s="43"/>
      <x:c r="E35" s="93"/>
      <x:c r="F35" s="43"/>
      <x:c r="G35" s="93"/>
      <x:c r="H35" s="96"/>
      <x:c r="I35" s="40"/>
    </x:row>
    <x:row r="36" ht="18" customHeight="1">
      <x:c r="A36" s="43"/>
      <x:c r="B36" s="43"/>
      <x:c r="C36" s="40"/>
      <x:c r="D36" s="43"/>
      <x:c r="E36" s="93"/>
      <x:c r="F36" s="43"/>
      <x:c r="G36" s="93"/>
      <x:c r="H36" s="96"/>
      <x:c r="I36" s="40"/>
    </x:row>
    <x:row r="37" ht="18" customHeight="1">
      <x:c r="A37" s="43"/>
      <x:c r="B37" s="43"/>
      <x:c r="C37" s="40"/>
      <x:c r="D37" s="43"/>
      <x:c r="E37" s="93"/>
      <x:c r="F37" s="43"/>
      <x:c r="G37" s="93"/>
      <x:c r="H37" s="96"/>
      <x:c r="I37" s="40"/>
    </x:row>
    <x:row r="38" ht="18" customHeight="1">
      <x:c r="A38" s="43"/>
      <x:c r="B38" s="43"/>
      <x:c r="C38" s="40"/>
      <x:c r="D38" s="43"/>
      <x:c r="E38" s="93"/>
      <x:c r="F38" s="43"/>
      <x:c r="G38" s="93"/>
      <x:c r="H38" s="96"/>
      <x:c r="I38" s="40"/>
    </x:row>
    <x:row r="39" ht="18" customHeight="1">
      <x:c r="A39" s="43"/>
      <x:c r="B39" s="43"/>
      <x:c r="C39" s="40"/>
      <x:c r="D39" s="43"/>
      <x:c r="E39" s="93"/>
      <x:c r="F39" s="43"/>
      <x:c r="G39" s="93"/>
      <x:c r="H39" s="96"/>
      <x:c r="I39" s="40"/>
    </x:row>
    <x:row r="40" ht="18" customHeight="1">
      <x:c r="A40" s="43"/>
      <x:c r="B40" s="43"/>
      <x:c r="C40" s="40"/>
      <x:c r="D40" s="43"/>
      <x:c r="E40" s="93"/>
      <x:c r="F40" s="43"/>
      <x:c r="G40" s="93"/>
      <x:c r="H40" s="96"/>
      <x:c r="I40" s="40"/>
    </x:row>
    <x:row r="41" ht="18" customHeight="1">
      <x:c r="A41" s="43"/>
      <x:c r="B41" s="43"/>
      <x:c r="C41" s="40"/>
      <x:c r="D41" s="43"/>
      <x:c r="E41" s="93"/>
      <x:c r="F41" s="43"/>
      <x:c r="G41" s="93"/>
      <x:c r="H41" s="96"/>
      <x:c r="I41" s="40"/>
    </x:row>
    <x:row r="42" ht="18" customHeight="1">
      <x:c r="A42" s="43"/>
      <x:c r="B42" s="43"/>
      <x:c r="C42" s="40"/>
      <x:c r="D42" s="43"/>
      <x:c r="E42" s="93"/>
      <x:c r="F42" s="43"/>
      <x:c r="G42" s="93"/>
      <x:c r="H42" s="96"/>
      <x:c r="I42" s="40"/>
    </x:row>
    <x:row r="43" ht="18" customHeight="1">
      <x:c r="A43" s="43"/>
      <x:c r="B43" s="43"/>
      <x:c r="C43" s="40"/>
      <x:c r="D43" s="43"/>
      <x:c r="E43" s="93"/>
      <x:c r="F43" s="43"/>
      <x:c r="G43" s="93"/>
      <x:c r="H43" s="96"/>
      <x:c r="I43" s="40"/>
    </x:row>
    <x:row r="44" ht="18" customHeight="1">
      <x:c r="A44" s="43"/>
      <x:c r="B44" s="43"/>
      <x:c r="C44" s="40"/>
      <x:c r="D44" s="43"/>
      <x:c r="E44" s="93"/>
      <x:c r="F44" s="43"/>
      <x:c r="G44" s="93"/>
      <x:c r="H44" s="96"/>
      <x:c r="I44" s="40"/>
    </x:row>
    <x:row r="45" ht="18" customHeight="1">
      <x:c r="A45" s="43"/>
      <x:c r="B45" s="43"/>
      <x:c r="C45" s="40"/>
      <x:c r="D45" s="43"/>
      <x:c r="E45" s="93"/>
      <x:c r="F45" s="43"/>
      <x:c r="G45" s="93"/>
      <x:c r="H45" s="96"/>
      <x:c r="I45" s="40"/>
    </x:row>
    <x:row r="46" ht="18" customHeight="1">
      <x:c r="A46" s="44"/>
      <x:c r="B46" s="44"/>
      <x:c r="C46" s="41"/>
      <x:c r="D46" s="44"/>
      <x:c r="E46" s="94"/>
      <x:c r="F46" s="44"/>
      <x:c r="G46" s="94"/>
      <x:c r="H46" s="97"/>
      <x:c r="I46" s="41"/>
    </x:row>
  </x:sheetData>
  <x:mergeCells>
    <x:mergeCell ref="A1:I1"/>
    <x:mergeCell ref="A2:I2"/>
    <x:mergeCell ref="A3:I4"/>
  </x:mergeCells>
  <x:conditionalFormatting sqref="D7:D46">
    <x:cfRule type="containsText" dxfId="12" priority="1" operator="containsText" text="启用"/>
    <x:cfRule type="containsText" dxfId="13" priority="2" operator="containsText" text="已发布"/>
    <x:cfRule type="containsText" dxfId="14" priority="3" operator="containsText" text="草稿"/>
    <x:cfRule type="containsText" dxfId="15" priority="4" operator="containsText" text="停用"/>
  </x:conditionalFormatting>
  <x:conditionalFormatting sqref="A7:A46">
    <x:cfRule type="duplicateValues" dxfId="16" priority="5"/>
  </x:conditionalFormatting>
  <x:dataValidations count="1">
    <x:dataValidation type="list" sqref="D7:D46">
      <x:formula1>"启用,停用"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75" hidden="0" customWidth="1"/>
    <x:col min="2" max="2" width="18.75" hidden="0" customWidth="1"/>
    <x:col min="3" max="3" width="11.880000114440918" hidden="0" customWidth="1"/>
    <x:col min="4" max="4" width="13.130000114440918" hidden="0" customWidth="1"/>
    <x:col min="5" max="5" width="13.130000114440918" hidden="0" customWidth="1"/>
    <x:col min="6" max="6" width="11.880000114440918" hidden="0" customWidth="1"/>
    <x:col min="7" max="7" width="16.8799991607666" hidden="0" customWidth="1"/>
    <x:col min="8" max="8" width="16.8799991607666" hidden="0" customWidth="1"/>
    <x:col min="9" max="9" width="32.5" hidden="0" customWidth="1"/>
  </x:cols>
  <x:sheetData>
    <x:row r="1" ht="28.5" customHeight="1">
      <x:c r="A1" s="3" t="str">
        <x:v>国家与地区</x:v>
      </x:c>
      <x:c r="B1" s="3"/>
      <x:c r="C1" s="3"/>
      <x:c r="D1" s="3"/>
      <x:c r="E1" s="3"/>
      <x:c r="F1" s="3"/>
      <x:c r="G1" s="3"/>
      <x:c r="H1" s="3"/>
      <x:c r="I1" s="3"/>
    </x:row>
    <x:row r="2" ht="19.5" customHeight="1">
      <x:c r="A2" s="6" t="str">
        <x:v>默认 30 个高消费市场，可增删、停用和调整优先级</x:v>
      </x:c>
      <x:c r="B2" s="6"/>
      <x:c r="C2" s="6"/>
      <x:c r="D2" s="6"/>
      <x:c r="E2" s="6"/>
      <x:c r="F2" s="6"/>
      <x:c r="G2" s="6"/>
      <x:c r="H2" s="6"/>
      <x:c r="I2" s="6"/>
    </x:row>
    <x:row r="3" ht="21" customHeight="1">
      <x:c r="A3" s="21" t="str">
        <x:v>中国归国内，其余启用市场归海外。七麦编码按现有配置预填；点点仅预填当前代码中已验证的 4 个映射，其余请验证后填写。</x:v>
      </x:c>
      <x:c r="B3" s="22"/>
      <x:c r="C3" s="22"/>
      <x:c r="D3" s="22"/>
      <x:c r="E3" s="22"/>
      <x:c r="F3" s="22"/>
      <x:c r="G3" s="22"/>
      <x:c r="H3" s="22"/>
      <x:c r="I3" s="23"/>
    </x:row>
    <x:row r="4" ht="21" customHeight="1">
      <x:c r="A4" s="24"/>
      <x:c r="B4" s="25"/>
      <x:c r="C4" s="25"/>
      <x:c r="D4" s="25"/>
      <x:c r="E4" s="25"/>
      <x:c r="F4" s="25"/>
      <x:c r="G4" s="25"/>
      <x:c r="H4" s="25"/>
      <x:c r="I4" s="26"/>
    </x:row>
    <x:row r="5">
      <x:c r="A5" s="130"/>
      <x:c r="B5" s="130"/>
      <x:c r="C5" s="130"/>
      <x:c r="D5" s="130"/>
      <x:c r="E5" s="130"/>
      <x:c r="F5" s="130"/>
      <x:c r="G5" s="130"/>
      <x:c r="H5" s="130"/>
      <x:c r="I5" s="130"/>
    </x:row>
    <x:row r="6" ht="43.5" customHeight="1">
      <x:c r="A6" s="31" t="str">
        <x:v>country_code
国家代码 *</x:v>
      </x:c>
      <x:c r="B6" s="31" t="str">
        <x:v>country_name
国家或地区 *</x:v>
      </x:c>
      <x:c r="C6" s="31" t="str">
        <x:v>revenue_scope
流水归属 *</x:v>
      </x:c>
      <x:c r="D6" s="31" t="str">
        <x:v>currency_code
原币代码 *</x:v>
      </x:c>
      <x:c r="E6" s="31" t="str">
        <x:v>market_priority
市场优先级 *</x:v>
      </x:c>
      <x:c r="F6" s="31" t="str">
        <x:v>enabled
启用状态 *</x:v>
      </x:c>
      <x:c r="G6" s="31" t="str">
        <x:v>qimai_country_code
七麦地区编码</x:v>
      </x:c>
      <x:c r="H6" s="31" t="str">
        <x:v>diandian_country_id
点点地区ID</x:v>
      </x:c>
      <x:c r="I6" s="31" t="str">
        <x:v>notes
备注</x:v>
      </x:c>
    </x:row>
    <x:row r="7" ht="18" customHeight="1">
      <x:c r="A7" s="86" t="str">
        <x:v>cn</x:v>
      </x:c>
      <x:c r="B7" s="42" t="str">
        <x:v>中国</x:v>
      </x:c>
      <x:c r="C7" s="42" t="str">
        <x:v>国内</x:v>
      </x:c>
      <x:c r="D7" s="86" t="str">
        <x:v>CNY</x:v>
      </x:c>
      <x:c r="E7" s="84" t="n">
        <x:v>1</x:v>
      </x:c>
      <x:c r="F7" s="42" t="str">
        <x:v>启用</x:v>
      </x:c>
      <x:c r="G7" s="89" t="str">
        <x:v>cn</x:v>
      </x:c>
      <x:c r="H7" s="89" t="str">
        <x:v>75</x:v>
      </x:c>
      <x:c r="I7" s="39" t="str"/>
    </x:row>
    <x:row r="8" ht="18" customHeight="1">
      <x:c r="A8" s="87" t="str">
        <x:v>us</x:v>
      </x:c>
      <x:c r="B8" s="43" t="str">
        <x:v>美国</x:v>
      </x:c>
      <x:c r="C8" s="43" t="str">
        <x:v>海外</x:v>
      </x:c>
      <x:c r="D8" s="87" t="str">
        <x:v>USD</x:v>
      </x:c>
      <x:c r="E8" s="81" t="n">
        <x:v>2</x:v>
      </x:c>
      <x:c r="F8" s="43" t="str">
        <x:v>启用</x:v>
      </x:c>
      <x:c r="G8" s="90" t="str">
        <x:v>us</x:v>
      </x:c>
      <x:c r="H8" s="90" t="str">
        <x:v>24</x:v>
      </x:c>
      <x:c r="I8" s="40" t="str"/>
    </x:row>
    <x:row r="9" ht="18" customHeight="1">
      <x:c r="A9" s="87" t="str">
        <x:v>jp</x:v>
      </x:c>
      <x:c r="B9" s="43" t="str">
        <x:v>日本</x:v>
      </x:c>
      <x:c r="C9" s="43" t="str">
        <x:v>海外</x:v>
      </x:c>
      <x:c r="D9" s="87" t="str">
        <x:v>JPY</x:v>
      </x:c>
      <x:c r="E9" s="81" t="n">
        <x:v>3</x:v>
      </x:c>
      <x:c r="F9" s="43" t="str">
        <x:v>启用</x:v>
      </x:c>
      <x:c r="G9" s="90" t="str">
        <x:v>jp</x:v>
      </x:c>
      <x:c r="H9" s="90" t="str">
        <x:v>26</x:v>
      </x:c>
      <x:c r="I9" s="40" t="str"/>
    </x:row>
    <x:row r="10" ht="18" customHeight="1">
      <x:c r="A10" s="87" t="str">
        <x:v>kr</x:v>
      </x:c>
      <x:c r="B10" s="43" t="str">
        <x:v>韩国</x:v>
      </x:c>
      <x:c r="C10" s="43" t="str">
        <x:v>海外</x:v>
      </x:c>
      <x:c r="D10" s="87" t="str">
        <x:v>KRW</x:v>
      </x:c>
      <x:c r="E10" s="81" t="n">
        <x:v>4</x:v>
      </x:c>
      <x:c r="F10" s="43" t="str">
        <x:v>启用</x:v>
      </x:c>
      <x:c r="G10" s="90" t="str">
        <x:v>kr</x:v>
      </x:c>
      <x:c r="H10" s="90" t="str"/>
      <x:c r="I10" s="40" t="str">
        <x:v>点点地区 ID 待验证</x:v>
      </x:c>
    </x:row>
    <x:row r="11" ht="18" customHeight="1">
      <x:c r="A11" s="87" t="str">
        <x:v>de</x:v>
      </x:c>
      <x:c r="B11" s="43" t="str">
        <x:v>德国</x:v>
      </x:c>
      <x:c r="C11" s="43" t="str">
        <x:v>海外</x:v>
      </x:c>
      <x:c r="D11" s="87" t="str">
        <x:v>EUR</x:v>
      </x:c>
      <x:c r="E11" s="81" t="n">
        <x:v>5</x:v>
      </x:c>
      <x:c r="F11" s="43" t="str">
        <x:v>启用</x:v>
      </x:c>
      <x:c r="G11" s="90" t="str">
        <x:v>de</x:v>
      </x:c>
      <x:c r="H11" s="90" t="str"/>
      <x:c r="I11" s="40" t="str">
        <x:v>点点地区 ID 待验证</x:v>
      </x:c>
    </x:row>
    <x:row r="12" ht="18" customHeight="1">
      <x:c r="A12" s="87" t="str">
        <x:v>gb</x:v>
      </x:c>
      <x:c r="B12" s="43" t="str">
        <x:v>英国</x:v>
      </x:c>
      <x:c r="C12" s="43" t="str">
        <x:v>海外</x:v>
      </x:c>
      <x:c r="D12" s="87" t="str">
        <x:v>GBP</x:v>
      </x:c>
      <x:c r="E12" s="81" t="n">
        <x:v>6</x:v>
      </x:c>
      <x:c r="F12" s="43" t="str">
        <x:v>启用</x:v>
      </x:c>
      <x:c r="G12" s="90" t="str">
        <x:v>gb</x:v>
      </x:c>
      <x:c r="H12" s="90" t="str"/>
      <x:c r="I12" s="40" t="str">
        <x:v>点点地区 ID 待验证</x:v>
      </x:c>
    </x:row>
    <x:row r="13" ht="18" customHeight="1">
      <x:c r="A13" s="87" t="str">
        <x:v>fr</x:v>
      </x:c>
      <x:c r="B13" s="43" t="str">
        <x:v>法国</x:v>
      </x:c>
      <x:c r="C13" s="43" t="str">
        <x:v>海外</x:v>
      </x:c>
      <x:c r="D13" s="87" t="str">
        <x:v>EUR</x:v>
      </x:c>
      <x:c r="E13" s="81" t="n">
        <x:v>7</x:v>
      </x:c>
      <x:c r="F13" s="43" t="str">
        <x:v>启用</x:v>
      </x:c>
      <x:c r="G13" s="90" t="str">
        <x:v>fr</x:v>
      </x:c>
      <x:c r="H13" s="90" t="str"/>
      <x:c r="I13" s="40" t="str">
        <x:v>点点地区 ID 待验证</x:v>
      </x:c>
    </x:row>
    <x:row r="14" ht="18" customHeight="1">
      <x:c r="A14" s="87" t="str">
        <x:v>ca</x:v>
      </x:c>
      <x:c r="B14" s="43" t="str">
        <x:v>加拿大</x:v>
      </x:c>
      <x:c r="C14" s="43" t="str">
        <x:v>海外</x:v>
      </x:c>
      <x:c r="D14" s="87" t="str">
        <x:v>CAD</x:v>
      </x:c>
      <x:c r="E14" s="81" t="n">
        <x:v>8</x:v>
      </x:c>
      <x:c r="F14" s="43" t="str">
        <x:v>启用</x:v>
      </x:c>
      <x:c r="G14" s="90" t="str">
        <x:v>ca</x:v>
      </x:c>
      <x:c r="H14" s="90" t="str"/>
      <x:c r="I14" s="40" t="str">
        <x:v>点点地区 ID 待验证</x:v>
      </x:c>
    </x:row>
    <x:row r="15" ht="18" customHeight="1">
      <x:c r="A15" s="87" t="str">
        <x:v>tw</x:v>
      </x:c>
      <x:c r="B15" s="43" t="str">
        <x:v>中国台湾</x:v>
      </x:c>
      <x:c r="C15" s="43" t="str">
        <x:v>海外</x:v>
      </x:c>
      <x:c r="D15" s="87" t="str">
        <x:v>TWD</x:v>
      </x:c>
      <x:c r="E15" s="81" t="n">
        <x:v>9</x:v>
      </x:c>
      <x:c r="F15" s="43" t="str">
        <x:v>启用</x:v>
      </x:c>
      <x:c r="G15" s="90" t="str">
        <x:v>tw</x:v>
      </x:c>
      <x:c r="H15" s="90" t="str">
        <x:v>125</x:v>
      </x:c>
      <x:c r="I15" s="40" t="str"/>
    </x:row>
    <x:row r="16" ht="18" customHeight="1">
      <x:c r="A16" s="87" t="str">
        <x:v>hk</x:v>
      </x:c>
      <x:c r="B16" s="43" t="str">
        <x:v>中国香港</x:v>
      </x:c>
      <x:c r="C16" s="43" t="str">
        <x:v>海外</x:v>
      </x:c>
      <x:c r="D16" s="87" t="str">
        <x:v>HKD</x:v>
      </x:c>
      <x:c r="E16" s="81" t="n">
        <x:v>10</x:v>
      </x:c>
      <x:c r="F16" s="43" t="str">
        <x:v>启用</x:v>
      </x:c>
      <x:c r="G16" s="90" t="str">
        <x:v>hk</x:v>
      </x:c>
      <x:c r="H16" s="90" t="str"/>
      <x:c r="I16" s="40" t="str">
        <x:v>点点地区 ID 待验证</x:v>
      </x:c>
    </x:row>
    <x:row r="17" ht="18" customHeight="1">
      <x:c r="A17" s="87" t="str">
        <x:v>au</x:v>
      </x:c>
      <x:c r="B17" s="43" t="str">
        <x:v>澳大利亚</x:v>
      </x:c>
      <x:c r="C17" s="43" t="str">
        <x:v>海外</x:v>
      </x:c>
      <x:c r="D17" s="87" t="str">
        <x:v>AUD</x:v>
      </x:c>
      <x:c r="E17" s="81" t="n">
        <x:v>11</x:v>
      </x:c>
      <x:c r="F17" s="43" t="str">
        <x:v>启用</x:v>
      </x:c>
      <x:c r="G17" s="90" t="str">
        <x:v>au</x:v>
      </x:c>
      <x:c r="H17" s="90" t="str"/>
      <x:c r="I17" s="40" t="str">
        <x:v>点点地区 ID 待验证</x:v>
      </x:c>
    </x:row>
    <x:row r="18" ht="18" customHeight="1">
      <x:c r="A18" s="87" t="str">
        <x:v>br</x:v>
      </x:c>
      <x:c r="B18" s="43" t="str">
        <x:v>巴西</x:v>
      </x:c>
      <x:c r="C18" s="43" t="str">
        <x:v>海外</x:v>
      </x:c>
      <x:c r="D18" s="87" t="str">
        <x:v>BRL</x:v>
      </x:c>
      <x:c r="E18" s="81" t="n">
        <x:v>12</x:v>
      </x:c>
      <x:c r="F18" s="43" t="str">
        <x:v>启用</x:v>
      </x:c>
      <x:c r="G18" s="90" t="str">
        <x:v>br</x:v>
      </x:c>
      <x:c r="H18" s="90" t="str"/>
      <x:c r="I18" s="40" t="str">
        <x:v>点点地区 ID 待验证</x:v>
      </x:c>
    </x:row>
    <x:row r="19" ht="18" customHeight="1">
      <x:c r="A19" s="87" t="str">
        <x:v>mx</x:v>
      </x:c>
      <x:c r="B19" s="43" t="str">
        <x:v>墨西哥</x:v>
      </x:c>
      <x:c r="C19" s="43" t="str">
        <x:v>海外</x:v>
      </x:c>
      <x:c r="D19" s="87" t="str">
        <x:v>MXN</x:v>
      </x:c>
      <x:c r="E19" s="81" t="n">
        <x:v>13</x:v>
      </x:c>
      <x:c r="F19" s="43" t="str">
        <x:v>启用</x:v>
      </x:c>
      <x:c r="G19" s="90" t="str">
        <x:v>mx</x:v>
      </x:c>
      <x:c r="H19" s="90" t="str"/>
      <x:c r="I19" s="40" t="str">
        <x:v>点点地区 ID 待验证</x:v>
      </x:c>
    </x:row>
    <x:row r="20" ht="18" customHeight="1">
      <x:c r="A20" s="87" t="str">
        <x:v>it</x:v>
      </x:c>
      <x:c r="B20" s="43" t="str">
        <x:v>意大利</x:v>
      </x:c>
      <x:c r="C20" s="43" t="str">
        <x:v>海外</x:v>
      </x:c>
      <x:c r="D20" s="87" t="str">
        <x:v>EUR</x:v>
      </x:c>
      <x:c r="E20" s="81" t="n">
        <x:v>14</x:v>
      </x:c>
      <x:c r="F20" s="43" t="str">
        <x:v>启用</x:v>
      </x:c>
      <x:c r="G20" s="90" t="str">
        <x:v>it</x:v>
      </x:c>
      <x:c r="H20" s="90" t="str"/>
      <x:c r="I20" s="40" t="str">
        <x:v>点点地区 ID 待验证</x:v>
      </x:c>
    </x:row>
    <x:row r="21" ht="18" customHeight="1">
      <x:c r="A21" s="87" t="str">
        <x:v>es</x:v>
      </x:c>
      <x:c r="B21" s="43" t="str">
        <x:v>西班牙</x:v>
      </x:c>
      <x:c r="C21" s="43" t="str">
        <x:v>海外</x:v>
      </x:c>
      <x:c r="D21" s="87" t="str">
        <x:v>EUR</x:v>
      </x:c>
      <x:c r="E21" s="81" t="n">
        <x:v>15</x:v>
      </x:c>
      <x:c r="F21" s="43" t="str">
        <x:v>启用</x:v>
      </x:c>
      <x:c r="G21" s="90" t="str">
        <x:v>es</x:v>
      </x:c>
      <x:c r="H21" s="90" t="str"/>
      <x:c r="I21" s="40" t="str">
        <x:v>点点地区 ID 待验证</x:v>
      </x:c>
    </x:row>
    <x:row r="22" ht="18" customHeight="1">
      <x:c r="A22" s="87" t="str">
        <x:v>sa</x:v>
      </x:c>
      <x:c r="B22" s="43" t="str">
        <x:v>沙特阿拉伯</x:v>
      </x:c>
      <x:c r="C22" s="43" t="str">
        <x:v>海外</x:v>
      </x:c>
      <x:c r="D22" s="87" t="str">
        <x:v>SAR</x:v>
      </x:c>
      <x:c r="E22" s="81" t="n">
        <x:v>16</x:v>
      </x:c>
      <x:c r="F22" s="43" t="str">
        <x:v>启用</x:v>
      </x:c>
      <x:c r="G22" s="90" t="str">
        <x:v>sa</x:v>
      </x:c>
      <x:c r="H22" s="90" t="str"/>
      <x:c r="I22" s="40" t="str">
        <x:v>点点地区 ID 待验证</x:v>
      </x:c>
    </x:row>
    <x:row r="23" ht="18" customHeight="1">
      <x:c r="A23" s="87" t="str">
        <x:v>ae</x:v>
      </x:c>
      <x:c r="B23" s="43" t="str">
        <x:v>阿联酋</x:v>
      </x:c>
      <x:c r="C23" s="43" t="str">
        <x:v>海外</x:v>
      </x:c>
      <x:c r="D23" s="87" t="str">
        <x:v>AED</x:v>
      </x:c>
      <x:c r="E23" s="81" t="n">
        <x:v>17</x:v>
      </x:c>
      <x:c r="F23" s="43" t="str">
        <x:v>启用</x:v>
      </x:c>
      <x:c r="G23" s="90" t="str">
        <x:v>ae</x:v>
      </x:c>
      <x:c r="H23" s="90" t="str"/>
      <x:c r="I23" s="40" t="str">
        <x:v>点点地区 ID 待验证</x:v>
      </x:c>
    </x:row>
    <x:row r="24" ht="18" customHeight="1">
      <x:c r="A24" s="87" t="str">
        <x:v>tr</x:v>
      </x:c>
      <x:c r="B24" s="43" t="str">
        <x:v>土耳其</x:v>
      </x:c>
      <x:c r="C24" s="43" t="str">
        <x:v>海外</x:v>
      </x:c>
      <x:c r="D24" s="87" t="str">
        <x:v>TRY</x:v>
      </x:c>
      <x:c r="E24" s="81" t="n">
        <x:v>18</x:v>
      </x:c>
      <x:c r="F24" s="43" t="str">
        <x:v>启用</x:v>
      </x:c>
      <x:c r="G24" s="90" t="str">
        <x:v>tr</x:v>
      </x:c>
      <x:c r="H24" s="90" t="str"/>
      <x:c r="I24" s="40" t="str">
        <x:v>点点地区 ID 待验证</x:v>
      </x:c>
    </x:row>
    <x:row r="25" ht="18" customHeight="1">
      <x:c r="A25" s="87" t="str">
        <x:v>in</x:v>
      </x:c>
      <x:c r="B25" s="43" t="str">
        <x:v>印度</x:v>
      </x:c>
      <x:c r="C25" s="43" t="str">
        <x:v>海外</x:v>
      </x:c>
      <x:c r="D25" s="87" t="str">
        <x:v>INR</x:v>
      </x:c>
      <x:c r="E25" s="81" t="n">
        <x:v>19</x:v>
      </x:c>
      <x:c r="F25" s="43" t="str">
        <x:v>启用</x:v>
      </x:c>
      <x:c r="G25" s="90" t="str">
        <x:v>in</x:v>
      </x:c>
      <x:c r="H25" s="90" t="str"/>
      <x:c r="I25" s="40" t="str">
        <x:v>点点地区 ID 待验证</x:v>
      </x:c>
    </x:row>
    <x:row r="26" ht="18" customHeight="1">
      <x:c r="A26" s="87" t="str">
        <x:v>id</x:v>
      </x:c>
      <x:c r="B26" s="43" t="str">
        <x:v>印度尼西亚</x:v>
      </x:c>
      <x:c r="C26" s="43" t="str">
        <x:v>海外</x:v>
      </x:c>
      <x:c r="D26" s="87" t="str">
        <x:v>IDR</x:v>
      </x:c>
      <x:c r="E26" s="81" t="n">
        <x:v>20</x:v>
      </x:c>
      <x:c r="F26" s="43" t="str">
        <x:v>启用</x:v>
      </x:c>
      <x:c r="G26" s="90" t="str">
        <x:v>id</x:v>
      </x:c>
      <x:c r="H26" s="90" t="str"/>
      <x:c r="I26" s="40" t="str">
        <x:v>点点地区 ID 待验证</x:v>
      </x:c>
    </x:row>
    <x:row r="27" ht="18" customHeight="1">
      <x:c r="A27" s="87" t="str">
        <x:v>th</x:v>
      </x:c>
      <x:c r="B27" s="43" t="str">
        <x:v>泰国</x:v>
      </x:c>
      <x:c r="C27" s="43" t="str">
        <x:v>海外</x:v>
      </x:c>
      <x:c r="D27" s="87" t="str">
        <x:v>THB</x:v>
      </x:c>
      <x:c r="E27" s="81" t="n">
        <x:v>21</x:v>
      </x:c>
      <x:c r="F27" s="43" t="str">
        <x:v>启用</x:v>
      </x:c>
      <x:c r="G27" s="90" t="str">
        <x:v>th</x:v>
      </x:c>
      <x:c r="H27" s="90" t="str"/>
      <x:c r="I27" s="40" t="str">
        <x:v>点点地区 ID 待验证</x:v>
      </x:c>
    </x:row>
    <x:row r="28" ht="18" customHeight="1">
      <x:c r="A28" s="87" t="str">
        <x:v>vn</x:v>
      </x:c>
      <x:c r="B28" s="43" t="str">
        <x:v>越南</x:v>
      </x:c>
      <x:c r="C28" s="43" t="str">
        <x:v>海外</x:v>
      </x:c>
      <x:c r="D28" s="87" t="str">
        <x:v>VND</x:v>
      </x:c>
      <x:c r="E28" s="81" t="n">
        <x:v>22</x:v>
      </x:c>
      <x:c r="F28" s="43" t="str">
        <x:v>启用</x:v>
      </x:c>
      <x:c r="G28" s="90" t="str">
        <x:v>vn</x:v>
      </x:c>
      <x:c r="H28" s="90" t="str"/>
      <x:c r="I28" s="40" t="str">
        <x:v>点点地区 ID 待验证</x:v>
      </x:c>
    </x:row>
    <x:row r="29" ht="18" customHeight="1">
      <x:c r="A29" s="87" t="str">
        <x:v>sg</x:v>
      </x:c>
      <x:c r="B29" s="43" t="str">
        <x:v>新加坡</x:v>
      </x:c>
      <x:c r="C29" s="43" t="str">
        <x:v>海外</x:v>
      </x:c>
      <x:c r="D29" s="87" t="str">
        <x:v>SGD</x:v>
      </x:c>
      <x:c r="E29" s="81" t="n">
        <x:v>23</x:v>
      </x:c>
      <x:c r="F29" s="43" t="str">
        <x:v>启用</x:v>
      </x:c>
      <x:c r="G29" s="90" t="str">
        <x:v>sg</x:v>
      </x:c>
      <x:c r="H29" s="90" t="str"/>
      <x:c r="I29" s="40" t="str">
        <x:v>点点地区 ID 待验证</x:v>
      </x:c>
    </x:row>
    <x:row r="30" ht="18" customHeight="1">
      <x:c r="A30" s="87" t="str">
        <x:v>my</x:v>
      </x:c>
      <x:c r="B30" s="43" t="str">
        <x:v>马来西亚</x:v>
      </x:c>
      <x:c r="C30" s="43" t="str">
        <x:v>海外</x:v>
      </x:c>
      <x:c r="D30" s="87" t="str">
        <x:v>MYR</x:v>
      </x:c>
      <x:c r="E30" s="81" t="n">
        <x:v>24</x:v>
      </x:c>
      <x:c r="F30" s="43" t="str">
        <x:v>启用</x:v>
      </x:c>
      <x:c r="G30" s="90" t="str">
        <x:v>my</x:v>
      </x:c>
      <x:c r="H30" s="90" t="str"/>
      <x:c r="I30" s="40" t="str">
        <x:v>点点地区 ID 待验证</x:v>
      </x:c>
    </x:row>
    <x:row r="31" ht="18" customHeight="1">
      <x:c r="A31" s="87" t="str">
        <x:v>ph</x:v>
      </x:c>
      <x:c r="B31" s="43" t="str">
        <x:v>菲律宾</x:v>
      </x:c>
      <x:c r="C31" s="43" t="str">
        <x:v>海外</x:v>
      </x:c>
      <x:c r="D31" s="87" t="str">
        <x:v>PHP</x:v>
      </x:c>
      <x:c r="E31" s="81" t="n">
        <x:v>25</x:v>
      </x:c>
      <x:c r="F31" s="43" t="str">
        <x:v>启用</x:v>
      </x:c>
      <x:c r="G31" s="90" t="str">
        <x:v>ph</x:v>
      </x:c>
      <x:c r="H31" s="90" t="str"/>
      <x:c r="I31" s="40" t="str">
        <x:v>点点地区 ID 待验证</x:v>
      </x:c>
    </x:row>
    <x:row r="32" ht="18" customHeight="1">
      <x:c r="A32" s="87" t="str">
        <x:v>nl</x:v>
      </x:c>
      <x:c r="B32" s="43" t="str">
        <x:v>荷兰</x:v>
      </x:c>
      <x:c r="C32" s="43" t="str">
        <x:v>海外</x:v>
      </x:c>
      <x:c r="D32" s="87" t="str">
        <x:v>EUR</x:v>
      </x:c>
      <x:c r="E32" s="81" t="n">
        <x:v>26</x:v>
      </x:c>
      <x:c r="F32" s="43" t="str">
        <x:v>启用</x:v>
      </x:c>
      <x:c r="G32" s="90" t="str">
        <x:v>nl</x:v>
      </x:c>
      <x:c r="H32" s="90" t="str"/>
      <x:c r="I32" s="40" t="str">
        <x:v>点点地区 ID 待验证</x:v>
      </x:c>
    </x:row>
    <x:row r="33" ht="18" customHeight="1">
      <x:c r="A33" s="87" t="str">
        <x:v>ch</x:v>
      </x:c>
      <x:c r="B33" s="43" t="str">
        <x:v>瑞士</x:v>
      </x:c>
      <x:c r="C33" s="43" t="str">
        <x:v>海外</x:v>
      </x:c>
      <x:c r="D33" s="87" t="str">
        <x:v>CHF</x:v>
      </x:c>
      <x:c r="E33" s="81" t="n">
        <x:v>27</x:v>
      </x:c>
      <x:c r="F33" s="43" t="str">
        <x:v>启用</x:v>
      </x:c>
      <x:c r="G33" s="90" t="str">
        <x:v>ch</x:v>
      </x:c>
      <x:c r="H33" s="90" t="str"/>
      <x:c r="I33" s="40" t="str">
        <x:v>点点地区 ID 待验证</x:v>
      </x:c>
    </x:row>
    <x:row r="34" ht="18" customHeight="1">
      <x:c r="A34" s="87" t="str">
        <x:v>se</x:v>
      </x:c>
      <x:c r="B34" s="43" t="str">
        <x:v>瑞典</x:v>
      </x:c>
      <x:c r="C34" s="43" t="str">
        <x:v>海外</x:v>
      </x:c>
      <x:c r="D34" s="87" t="str">
        <x:v>SEK</x:v>
      </x:c>
      <x:c r="E34" s="81" t="n">
        <x:v>28</x:v>
      </x:c>
      <x:c r="F34" s="43" t="str">
        <x:v>启用</x:v>
      </x:c>
      <x:c r="G34" s="90" t="str">
        <x:v>se</x:v>
      </x:c>
      <x:c r="H34" s="90" t="str"/>
      <x:c r="I34" s="40" t="str">
        <x:v>点点地区 ID 待验证</x:v>
      </x:c>
    </x:row>
    <x:row r="35" ht="18" customHeight="1">
      <x:c r="A35" s="87" t="str">
        <x:v>pl</x:v>
      </x:c>
      <x:c r="B35" s="43" t="str">
        <x:v>波兰</x:v>
      </x:c>
      <x:c r="C35" s="43" t="str">
        <x:v>海外</x:v>
      </x:c>
      <x:c r="D35" s="87" t="str">
        <x:v>PLN</x:v>
      </x:c>
      <x:c r="E35" s="81" t="n">
        <x:v>29</x:v>
      </x:c>
      <x:c r="F35" s="43" t="str">
        <x:v>启用</x:v>
      </x:c>
      <x:c r="G35" s="90" t="str">
        <x:v>pl</x:v>
      </x:c>
      <x:c r="H35" s="90" t="str"/>
      <x:c r="I35" s="40" t="str">
        <x:v>点点地区 ID 待验证</x:v>
      </x:c>
    </x:row>
    <x:row r="36" ht="18" customHeight="1">
      <x:c r="A36" s="87" t="str">
        <x:v>no</x:v>
      </x:c>
      <x:c r="B36" s="43" t="str">
        <x:v>挪威</x:v>
      </x:c>
      <x:c r="C36" s="43" t="str">
        <x:v>海外</x:v>
      </x:c>
      <x:c r="D36" s="87" t="str">
        <x:v>NOK</x:v>
      </x:c>
      <x:c r="E36" s="81" t="n">
        <x:v>30</x:v>
      </x:c>
      <x:c r="F36" s="43" t="str">
        <x:v>启用</x:v>
      </x:c>
      <x:c r="G36" s="90" t="str">
        <x:v>no</x:v>
      </x:c>
      <x:c r="H36" s="90" t="str"/>
      <x:c r="I36" s="40" t="str">
        <x:v>点点地区 ID 待验证</x:v>
      </x:c>
    </x:row>
    <x:row r="37" ht="18" customHeight="1">
      <x:c r="A37" s="87"/>
      <x:c r="B37" s="43"/>
      <x:c r="C37" s="43"/>
      <x:c r="D37" s="87"/>
      <x:c r="E37" s="81"/>
      <x:c r="F37" s="43"/>
      <x:c r="G37" s="90"/>
      <x:c r="H37" s="90"/>
      <x:c r="I37" s="40"/>
    </x:row>
    <x:row r="38" ht="18" customHeight="1">
      <x:c r="A38" s="87"/>
      <x:c r="B38" s="43"/>
      <x:c r="C38" s="43"/>
      <x:c r="D38" s="87"/>
      <x:c r="E38" s="81"/>
      <x:c r="F38" s="43"/>
      <x:c r="G38" s="90"/>
      <x:c r="H38" s="90"/>
      <x:c r="I38" s="40"/>
    </x:row>
    <x:row r="39" ht="18" customHeight="1">
      <x:c r="A39" s="87"/>
      <x:c r="B39" s="43"/>
      <x:c r="C39" s="43"/>
      <x:c r="D39" s="87"/>
      <x:c r="E39" s="81"/>
      <x:c r="F39" s="43"/>
      <x:c r="G39" s="90"/>
      <x:c r="H39" s="90"/>
      <x:c r="I39" s="40"/>
    </x:row>
    <x:row r="40" ht="18" customHeight="1">
      <x:c r="A40" s="87"/>
      <x:c r="B40" s="43"/>
      <x:c r="C40" s="43"/>
      <x:c r="D40" s="87"/>
      <x:c r="E40" s="81"/>
      <x:c r="F40" s="43"/>
      <x:c r="G40" s="90"/>
      <x:c r="H40" s="90"/>
      <x:c r="I40" s="40"/>
    </x:row>
    <x:row r="41" ht="18" customHeight="1">
      <x:c r="A41" s="87"/>
      <x:c r="B41" s="43"/>
      <x:c r="C41" s="43"/>
      <x:c r="D41" s="87"/>
      <x:c r="E41" s="81"/>
      <x:c r="F41" s="43"/>
      <x:c r="G41" s="90"/>
      <x:c r="H41" s="90"/>
      <x:c r="I41" s="40"/>
    </x:row>
    <x:row r="42" ht="18" customHeight="1">
      <x:c r="A42" s="87"/>
      <x:c r="B42" s="43"/>
      <x:c r="C42" s="43"/>
      <x:c r="D42" s="87"/>
      <x:c r="E42" s="81"/>
      <x:c r="F42" s="43"/>
      <x:c r="G42" s="90"/>
      <x:c r="H42" s="90"/>
      <x:c r="I42" s="40"/>
    </x:row>
    <x:row r="43" ht="18" customHeight="1">
      <x:c r="A43" s="87"/>
      <x:c r="B43" s="43"/>
      <x:c r="C43" s="43"/>
      <x:c r="D43" s="87"/>
      <x:c r="E43" s="81"/>
      <x:c r="F43" s="43"/>
      <x:c r="G43" s="90"/>
      <x:c r="H43" s="90"/>
      <x:c r="I43" s="40"/>
    </x:row>
    <x:row r="44" ht="18" customHeight="1">
      <x:c r="A44" s="87"/>
      <x:c r="B44" s="43"/>
      <x:c r="C44" s="43"/>
      <x:c r="D44" s="87"/>
      <x:c r="E44" s="81"/>
      <x:c r="F44" s="43"/>
      <x:c r="G44" s="90"/>
      <x:c r="H44" s="90"/>
      <x:c r="I44" s="40"/>
    </x:row>
    <x:row r="45" ht="18" customHeight="1">
      <x:c r="A45" s="87"/>
      <x:c r="B45" s="43"/>
      <x:c r="C45" s="43"/>
      <x:c r="D45" s="87"/>
      <x:c r="E45" s="81"/>
      <x:c r="F45" s="43"/>
      <x:c r="G45" s="90"/>
      <x:c r="H45" s="90"/>
      <x:c r="I45" s="40"/>
    </x:row>
    <x:row r="46" ht="18" customHeight="1">
      <x:c r="A46" s="87"/>
      <x:c r="B46" s="43"/>
      <x:c r="C46" s="43"/>
      <x:c r="D46" s="87"/>
      <x:c r="E46" s="81"/>
      <x:c r="F46" s="43"/>
      <x:c r="G46" s="90"/>
      <x:c r="H46" s="90"/>
      <x:c r="I46" s="40"/>
    </x:row>
    <x:row r="47" ht="18" customHeight="1">
      <x:c r="A47" s="87"/>
      <x:c r="B47" s="43"/>
      <x:c r="C47" s="43"/>
      <x:c r="D47" s="87"/>
      <x:c r="E47" s="81"/>
      <x:c r="F47" s="43"/>
      <x:c r="G47" s="90"/>
      <x:c r="H47" s="90"/>
      <x:c r="I47" s="40"/>
    </x:row>
    <x:row r="48" ht="18" customHeight="1">
      <x:c r="A48" s="87"/>
      <x:c r="B48" s="43"/>
      <x:c r="C48" s="43"/>
      <x:c r="D48" s="87"/>
      <x:c r="E48" s="81"/>
      <x:c r="F48" s="43"/>
      <x:c r="G48" s="90"/>
      <x:c r="H48" s="90"/>
      <x:c r="I48" s="40"/>
    </x:row>
    <x:row r="49" ht="18" customHeight="1">
      <x:c r="A49" s="87"/>
      <x:c r="B49" s="43"/>
      <x:c r="C49" s="43"/>
      <x:c r="D49" s="87"/>
      <x:c r="E49" s="81"/>
      <x:c r="F49" s="43"/>
      <x:c r="G49" s="90"/>
      <x:c r="H49" s="90"/>
      <x:c r="I49" s="40"/>
    </x:row>
    <x:row r="50" ht="18" customHeight="1">
      <x:c r="A50" s="87"/>
      <x:c r="B50" s="43"/>
      <x:c r="C50" s="43"/>
      <x:c r="D50" s="87"/>
      <x:c r="E50" s="81"/>
      <x:c r="F50" s="43"/>
      <x:c r="G50" s="90"/>
      <x:c r="H50" s="90"/>
      <x:c r="I50" s="40"/>
    </x:row>
    <x:row r="51" ht="18" customHeight="1">
      <x:c r="A51" s="87"/>
      <x:c r="B51" s="43"/>
      <x:c r="C51" s="43"/>
      <x:c r="D51" s="87"/>
      <x:c r="E51" s="81"/>
      <x:c r="F51" s="43"/>
      <x:c r="G51" s="90"/>
      <x:c r="H51" s="90"/>
      <x:c r="I51" s="40"/>
    </x:row>
    <x:row r="52" ht="18" customHeight="1">
      <x:c r="A52" s="87"/>
      <x:c r="B52" s="43"/>
      <x:c r="C52" s="43"/>
      <x:c r="D52" s="87"/>
      <x:c r="E52" s="81"/>
      <x:c r="F52" s="43"/>
      <x:c r="G52" s="90"/>
      <x:c r="H52" s="90"/>
      <x:c r="I52" s="40"/>
    </x:row>
    <x:row r="53" ht="18" customHeight="1">
      <x:c r="A53" s="87"/>
      <x:c r="B53" s="43"/>
      <x:c r="C53" s="43"/>
      <x:c r="D53" s="87"/>
      <x:c r="E53" s="81"/>
      <x:c r="F53" s="43"/>
      <x:c r="G53" s="90"/>
      <x:c r="H53" s="90"/>
      <x:c r="I53" s="40"/>
    </x:row>
    <x:row r="54" ht="18" customHeight="1">
      <x:c r="A54" s="87"/>
      <x:c r="B54" s="43"/>
      <x:c r="C54" s="43"/>
      <x:c r="D54" s="87"/>
      <x:c r="E54" s="81"/>
      <x:c r="F54" s="43"/>
      <x:c r="G54" s="90"/>
      <x:c r="H54" s="90"/>
      <x:c r="I54" s="40"/>
    </x:row>
    <x:row r="55" ht="18" customHeight="1">
      <x:c r="A55" s="87"/>
      <x:c r="B55" s="43"/>
      <x:c r="C55" s="43"/>
      <x:c r="D55" s="87"/>
      <x:c r="E55" s="81"/>
      <x:c r="F55" s="43"/>
      <x:c r="G55" s="90"/>
      <x:c r="H55" s="90"/>
      <x:c r="I55" s="40"/>
    </x:row>
    <x:row r="56" ht="18" customHeight="1">
      <x:c r="A56" s="88"/>
      <x:c r="B56" s="44"/>
      <x:c r="C56" s="44"/>
      <x:c r="D56" s="88"/>
      <x:c r="E56" s="85"/>
      <x:c r="F56" s="44"/>
      <x:c r="G56" s="91"/>
      <x:c r="H56" s="91"/>
      <x:c r="I56" s="41"/>
    </x:row>
  </x:sheetData>
  <x:mergeCells>
    <x:mergeCell ref="A1:I1"/>
    <x:mergeCell ref="A2:I2"/>
    <x:mergeCell ref="A3:I4"/>
  </x:mergeCells>
  <x:conditionalFormatting sqref="F7:F56">
    <x:cfRule type="containsText" dxfId="6" priority="1" operator="containsText" text="启用"/>
    <x:cfRule type="containsText" dxfId="7" priority="2" operator="containsText" text="已发布"/>
    <x:cfRule type="containsText" dxfId="8" priority="3" operator="containsText" text="草稿"/>
    <x:cfRule type="containsText" dxfId="9" priority="4" operator="containsText" text="停用"/>
  </x:conditionalFormatting>
  <x:conditionalFormatting sqref="A7:A56">
    <x:cfRule type="duplicateValues" dxfId="10" priority="5"/>
  </x:conditionalFormatting>
  <x:conditionalFormatting sqref="E7:E56">
    <x:cfRule type="duplicateValues" dxfId="11" priority="6"/>
  </x:conditionalFormatting>
  <x:dataValidations count="3">
    <x:dataValidation type="list" sqref="C7:C56">
      <x:formula1>"国内,海外"</x:formula1>
    </x:dataValidation>
    <x:dataValidation type="list" sqref="F7:F56">
      <x:formula1>"启用,停用"</x:formula1>
    </x:dataValidation>
    <x:dataValidation type="whole" operator="between" sqref="E7:E56">
      <x:formula1>1</x:formula1>
      <x:formula2>999</x:formula2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5" hidden="0" customWidth="1"/>
    <x:col min="2" max="2" width="18.1299991607666" hidden="0" customWidth="1"/>
    <x:col min="3" max="3" width="13.130000114440918" hidden="0" customWidth="1"/>
    <x:col min="4" max="4" width="19.3799991607666" hidden="0" customWidth="1"/>
    <x:col min="5" max="5" width="23.75" hidden="0" customWidth="1"/>
    <x:col min="6" max="6" width="11.880000114440918" hidden="0" customWidth="1"/>
    <x:col min="7" max="7" width="13.130000114440918" hidden="0" customWidth="1"/>
    <x:col min="8" max="8" width="14.380000114440918" hidden="0" customWidth="1"/>
    <x:col min="9" max="9" width="14.380000114440918" hidden="0" customWidth="1"/>
    <x:col min="10" max="10" width="33.75" hidden="0" customWidth="1"/>
  </x:cols>
  <x:sheetData>
    <x:row r="1" ht="28.5" customHeight="1">
      <x:c r="A1" s="3" t="str">
        <x:v>App ID 映射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19.5" customHeight="1">
      <x:c r="A2" s="6" t="str">
        <x:v>同一游戏可绑定多个国家版本的 App Store ID</x:v>
      </x:c>
      <x:c r="B2" s="6"/>
      <x:c r="C2" s="6"/>
      <x:c r="D2" s="6"/>
      <x:c r="E2" s="6"/>
      <x:c r="F2" s="6"/>
      <x:c r="G2" s="6"/>
      <x:c r="H2" s="6"/>
      <x:c r="I2" s="6"/>
      <x:c r="J2" s="6"/>
    </x:row>
    <x:row r="3" ht="21" customHeight="1">
      <x:c r="A3" s="21" t="str">
        <x:v>抓取结果按 game_id + country_code + app_store_id 精确匹配，游戏名称仅用于展示。</x:v>
      </x:c>
      <x:c r="B3" s="22"/>
      <x:c r="C3" s="22"/>
      <x:c r="D3" s="22"/>
      <x:c r="E3" s="22"/>
      <x:c r="F3" s="22"/>
      <x:c r="G3" s="22"/>
      <x:c r="H3" s="22"/>
      <x:c r="I3" s="22"/>
      <x:c r="J3" s="23"/>
    </x:row>
    <x:row r="4" ht="21" customHeight="1">
      <x:c r="A4" s="24"/>
      <x:c r="B4" s="25"/>
      <x:c r="C4" s="25"/>
      <x:c r="D4" s="25"/>
      <x:c r="E4" s="25"/>
      <x:c r="F4" s="25"/>
      <x:c r="G4" s="25"/>
      <x:c r="H4" s="25"/>
      <x:c r="I4" s="25"/>
      <x:c r="J4" s="26"/>
    </x:row>
    <x:row r="5">
      <x:c r="A5" s="130"/>
      <x:c r="B5" s="130"/>
      <x:c r="C5" s="130"/>
      <x:c r="D5" s="130"/>
      <x:c r="E5" s="130"/>
      <x:c r="F5" s="130"/>
      <x:c r="G5" s="130"/>
      <x:c r="H5" s="130"/>
      <x:c r="I5" s="130"/>
      <x:c r="J5" s="130"/>
    </x:row>
    <x:row r="6" ht="43.5" customHeight="1">
      <x:c r="A6" s="31" t="str">
        <x:v>mapping_id
映射ID *</x:v>
      </x:c>
      <x:c r="B6" s="31" t="str">
        <x:v>game_id
游戏ID *</x:v>
      </x:c>
      <x:c r="C6" s="31" t="str">
        <x:v>country_code
国家代码 *</x:v>
      </x:c>
      <x:c r="D6" s="31" t="str">
        <x:v>app_store_id
App Store ID *</x:v>
      </x:c>
      <x:c r="E6" s="31" t="str">
        <x:v>regional_app_name
地区版本名称</x:v>
      </x:c>
      <x:c r="F6" s="31" t="str">
        <x:v>enabled
启用状态 *</x:v>
      </x:c>
      <x:c r="G6" s="31" t="str">
        <x:v>config_version
配置版本 *</x:v>
      </x:c>
      <x:c r="H6" s="31" t="str">
        <x:v>effective_date
生效日期 *</x:v>
      </x:c>
      <x:c r="I6" s="31" t="str">
        <x:v>end_date
失效日期</x:v>
      </x:c>
      <x:c r="J6" s="31" t="str">
        <x:v>notes
备注</x:v>
      </x:c>
    </x:row>
    <x:row r="7" ht="18" customHeight="1">
      <x:c r="A7" s="42"/>
      <x:c r="B7" s="42"/>
      <x:c r="C7" s="42"/>
      <x:c r="D7" s="86"/>
      <x:c r="E7" s="39"/>
      <x:c r="F7" s="42"/>
      <x:c r="G7" s="42"/>
      <x:c r="H7" s="92"/>
      <x:c r="I7" s="95"/>
      <x:c r="J7" s="39"/>
    </x:row>
    <x:row r="8" ht="18" customHeight="1">
      <x:c r="A8" s="43"/>
      <x:c r="B8" s="43"/>
      <x:c r="C8" s="43"/>
      <x:c r="D8" s="87"/>
      <x:c r="E8" s="40"/>
      <x:c r="F8" s="43"/>
      <x:c r="G8" s="43"/>
      <x:c r="H8" s="93"/>
      <x:c r="I8" s="96"/>
      <x:c r="J8" s="40"/>
    </x:row>
    <x:row r="9" ht="18" customHeight="1">
      <x:c r="A9" s="43"/>
      <x:c r="B9" s="43"/>
      <x:c r="C9" s="43"/>
      <x:c r="D9" s="87"/>
      <x:c r="E9" s="40"/>
      <x:c r="F9" s="43"/>
      <x:c r="G9" s="43"/>
      <x:c r="H9" s="93"/>
      <x:c r="I9" s="96"/>
      <x:c r="J9" s="40"/>
    </x:row>
    <x:row r="10" ht="18" customHeight="1">
      <x:c r="A10" s="43"/>
      <x:c r="B10" s="43"/>
      <x:c r="C10" s="43"/>
      <x:c r="D10" s="87"/>
      <x:c r="E10" s="40"/>
      <x:c r="F10" s="43"/>
      <x:c r="G10" s="43"/>
      <x:c r="H10" s="93"/>
      <x:c r="I10" s="96"/>
      <x:c r="J10" s="40"/>
    </x:row>
    <x:row r="11" ht="18" customHeight="1">
      <x:c r="A11" s="43"/>
      <x:c r="B11" s="43"/>
      <x:c r="C11" s="43"/>
      <x:c r="D11" s="87"/>
      <x:c r="E11" s="40"/>
      <x:c r="F11" s="43"/>
      <x:c r="G11" s="43"/>
      <x:c r="H11" s="93"/>
      <x:c r="I11" s="96"/>
      <x:c r="J11" s="40"/>
    </x:row>
    <x:row r="12" ht="18" customHeight="1">
      <x:c r="A12" s="43"/>
      <x:c r="B12" s="43"/>
      <x:c r="C12" s="43"/>
      <x:c r="D12" s="87"/>
      <x:c r="E12" s="40"/>
      <x:c r="F12" s="43"/>
      <x:c r="G12" s="43"/>
      <x:c r="H12" s="93"/>
      <x:c r="I12" s="96"/>
      <x:c r="J12" s="40"/>
    </x:row>
    <x:row r="13" ht="18" customHeight="1">
      <x:c r="A13" s="43"/>
      <x:c r="B13" s="43"/>
      <x:c r="C13" s="43"/>
      <x:c r="D13" s="87"/>
      <x:c r="E13" s="40"/>
      <x:c r="F13" s="43"/>
      <x:c r="G13" s="43"/>
      <x:c r="H13" s="93"/>
      <x:c r="I13" s="96"/>
      <x:c r="J13" s="40"/>
    </x:row>
    <x:row r="14" ht="18" customHeight="1">
      <x:c r="A14" s="43"/>
      <x:c r="B14" s="43"/>
      <x:c r="C14" s="43"/>
      <x:c r="D14" s="87"/>
      <x:c r="E14" s="40"/>
      <x:c r="F14" s="43"/>
      <x:c r="G14" s="43"/>
      <x:c r="H14" s="93"/>
      <x:c r="I14" s="96"/>
      <x:c r="J14" s="40"/>
    </x:row>
    <x:row r="15" ht="18" customHeight="1">
      <x:c r="A15" s="43"/>
      <x:c r="B15" s="43"/>
      <x:c r="C15" s="43"/>
      <x:c r="D15" s="87"/>
      <x:c r="E15" s="40"/>
      <x:c r="F15" s="43"/>
      <x:c r="G15" s="43"/>
      <x:c r="H15" s="93"/>
      <x:c r="I15" s="96"/>
      <x:c r="J15" s="40"/>
    </x:row>
    <x:row r="16" ht="18" customHeight="1">
      <x:c r="A16" s="43"/>
      <x:c r="B16" s="43"/>
      <x:c r="C16" s="43"/>
      <x:c r="D16" s="87"/>
      <x:c r="E16" s="40"/>
      <x:c r="F16" s="43"/>
      <x:c r="G16" s="43"/>
      <x:c r="H16" s="93"/>
      <x:c r="I16" s="96"/>
      <x:c r="J16" s="40"/>
    </x:row>
    <x:row r="17" ht="18" customHeight="1">
      <x:c r="A17" s="43"/>
      <x:c r="B17" s="43"/>
      <x:c r="C17" s="43"/>
      <x:c r="D17" s="87"/>
      <x:c r="E17" s="40"/>
      <x:c r="F17" s="43"/>
      <x:c r="G17" s="43"/>
      <x:c r="H17" s="93"/>
      <x:c r="I17" s="96"/>
      <x:c r="J17" s="40"/>
    </x:row>
    <x:row r="18" ht="18" customHeight="1">
      <x:c r="A18" s="43"/>
      <x:c r="B18" s="43"/>
      <x:c r="C18" s="43"/>
      <x:c r="D18" s="87"/>
      <x:c r="E18" s="40"/>
      <x:c r="F18" s="43"/>
      <x:c r="G18" s="43"/>
      <x:c r="H18" s="93"/>
      <x:c r="I18" s="96"/>
      <x:c r="J18" s="40"/>
    </x:row>
    <x:row r="19" ht="18" customHeight="1">
      <x:c r="A19" s="43"/>
      <x:c r="B19" s="43"/>
      <x:c r="C19" s="43"/>
      <x:c r="D19" s="87"/>
      <x:c r="E19" s="40"/>
      <x:c r="F19" s="43"/>
      <x:c r="G19" s="43"/>
      <x:c r="H19" s="93"/>
      <x:c r="I19" s="96"/>
      <x:c r="J19" s="40"/>
    </x:row>
    <x:row r="20" ht="18" customHeight="1">
      <x:c r="A20" s="43"/>
      <x:c r="B20" s="43"/>
      <x:c r="C20" s="43"/>
      <x:c r="D20" s="87"/>
      <x:c r="E20" s="40"/>
      <x:c r="F20" s="43"/>
      <x:c r="G20" s="43"/>
      <x:c r="H20" s="93"/>
      <x:c r="I20" s="96"/>
      <x:c r="J20" s="40"/>
    </x:row>
    <x:row r="21" ht="18" customHeight="1">
      <x:c r="A21" s="43"/>
      <x:c r="B21" s="43"/>
      <x:c r="C21" s="43"/>
      <x:c r="D21" s="87"/>
      <x:c r="E21" s="40"/>
      <x:c r="F21" s="43"/>
      <x:c r="G21" s="43"/>
      <x:c r="H21" s="93"/>
      <x:c r="I21" s="96"/>
      <x:c r="J21" s="40"/>
    </x:row>
    <x:row r="22" ht="18" customHeight="1">
      <x:c r="A22" s="43"/>
      <x:c r="B22" s="43"/>
      <x:c r="C22" s="43"/>
      <x:c r="D22" s="87"/>
      <x:c r="E22" s="40"/>
      <x:c r="F22" s="43"/>
      <x:c r="G22" s="43"/>
      <x:c r="H22" s="93"/>
      <x:c r="I22" s="96"/>
      <x:c r="J22" s="40"/>
    </x:row>
    <x:row r="23" ht="18" customHeight="1">
      <x:c r="A23" s="43"/>
      <x:c r="B23" s="43"/>
      <x:c r="C23" s="43"/>
      <x:c r="D23" s="87"/>
      <x:c r="E23" s="40"/>
      <x:c r="F23" s="43"/>
      <x:c r="G23" s="43"/>
      <x:c r="H23" s="93"/>
      <x:c r="I23" s="96"/>
      <x:c r="J23" s="40"/>
    </x:row>
    <x:row r="24" ht="18" customHeight="1">
      <x:c r="A24" s="43"/>
      <x:c r="B24" s="43"/>
      <x:c r="C24" s="43"/>
      <x:c r="D24" s="87"/>
      <x:c r="E24" s="40"/>
      <x:c r="F24" s="43"/>
      <x:c r="G24" s="43"/>
      <x:c r="H24" s="93"/>
      <x:c r="I24" s="96"/>
      <x:c r="J24" s="40"/>
    </x:row>
    <x:row r="25" ht="18" customHeight="1">
      <x:c r="A25" s="43"/>
      <x:c r="B25" s="43"/>
      <x:c r="C25" s="43"/>
      <x:c r="D25" s="87"/>
      <x:c r="E25" s="40"/>
      <x:c r="F25" s="43"/>
      <x:c r="G25" s="43"/>
      <x:c r="H25" s="93"/>
      <x:c r="I25" s="96"/>
      <x:c r="J25" s="40"/>
    </x:row>
    <x:row r="26" ht="18" customHeight="1">
      <x:c r="A26" s="43"/>
      <x:c r="B26" s="43"/>
      <x:c r="C26" s="43"/>
      <x:c r="D26" s="87"/>
      <x:c r="E26" s="40"/>
      <x:c r="F26" s="43"/>
      <x:c r="G26" s="43"/>
      <x:c r="H26" s="93"/>
      <x:c r="I26" s="96"/>
      <x:c r="J26" s="40"/>
    </x:row>
    <x:row r="27" ht="18" customHeight="1">
      <x:c r="A27" s="43"/>
      <x:c r="B27" s="43"/>
      <x:c r="C27" s="43"/>
      <x:c r="D27" s="87"/>
      <x:c r="E27" s="40"/>
      <x:c r="F27" s="43"/>
      <x:c r="G27" s="43"/>
      <x:c r="H27" s="93"/>
      <x:c r="I27" s="96"/>
      <x:c r="J27" s="40"/>
    </x:row>
    <x:row r="28" ht="18" customHeight="1">
      <x:c r="A28" s="43"/>
      <x:c r="B28" s="43"/>
      <x:c r="C28" s="43"/>
      <x:c r="D28" s="87"/>
      <x:c r="E28" s="40"/>
      <x:c r="F28" s="43"/>
      <x:c r="G28" s="43"/>
      <x:c r="H28" s="93"/>
      <x:c r="I28" s="96"/>
      <x:c r="J28" s="40"/>
    </x:row>
    <x:row r="29" ht="18" customHeight="1">
      <x:c r="A29" s="43"/>
      <x:c r="B29" s="43"/>
      <x:c r="C29" s="43"/>
      <x:c r="D29" s="87"/>
      <x:c r="E29" s="40"/>
      <x:c r="F29" s="43"/>
      <x:c r="G29" s="43"/>
      <x:c r="H29" s="93"/>
      <x:c r="I29" s="96"/>
      <x:c r="J29" s="40"/>
    </x:row>
    <x:row r="30" ht="18" customHeight="1">
      <x:c r="A30" s="43"/>
      <x:c r="B30" s="43"/>
      <x:c r="C30" s="43"/>
      <x:c r="D30" s="87"/>
      <x:c r="E30" s="40"/>
      <x:c r="F30" s="43"/>
      <x:c r="G30" s="43"/>
      <x:c r="H30" s="93"/>
      <x:c r="I30" s="96"/>
      <x:c r="J30" s="40"/>
    </x:row>
    <x:row r="31" ht="18" customHeight="1">
      <x:c r="A31" s="43"/>
      <x:c r="B31" s="43"/>
      <x:c r="C31" s="43"/>
      <x:c r="D31" s="87"/>
      <x:c r="E31" s="40"/>
      <x:c r="F31" s="43"/>
      <x:c r="G31" s="43"/>
      <x:c r="H31" s="93"/>
      <x:c r="I31" s="96"/>
      <x:c r="J31" s="40"/>
    </x:row>
    <x:row r="32" ht="18" customHeight="1">
      <x:c r="A32" s="43"/>
      <x:c r="B32" s="43"/>
      <x:c r="C32" s="43"/>
      <x:c r="D32" s="87"/>
      <x:c r="E32" s="40"/>
      <x:c r="F32" s="43"/>
      <x:c r="G32" s="43"/>
      <x:c r="H32" s="93"/>
      <x:c r="I32" s="96"/>
      <x:c r="J32" s="40"/>
    </x:row>
    <x:row r="33" ht="18" customHeight="1">
      <x:c r="A33" s="43"/>
      <x:c r="B33" s="43"/>
      <x:c r="C33" s="43"/>
      <x:c r="D33" s="87"/>
      <x:c r="E33" s="40"/>
      <x:c r="F33" s="43"/>
      <x:c r="G33" s="43"/>
      <x:c r="H33" s="93"/>
      <x:c r="I33" s="96"/>
      <x:c r="J33" s="40"/>
    </x:row>
    <x:row r="34" ht="18" customHeight="1">
      <x:c r="A34" s="43"/>
      <x:c r="B34" s="43"/>
      <x:c r="C34" s="43"/>
      <x:c r="D34" s="87"/>
      <x:c r="E34" s="40"/>
      <x:c r="F34" s="43"/>
      <x:c r="G34" s="43"/>
      <x:c r="H34" s="93"/>
      <x:c r="I34" s="96"/>
      <x:c r="J34" s="40"/>
    </x:row>
    <x:row r="35" ht="18" customHeight="1">
      <x:c r="A35" s="43"/>
      <x:c r="B35" s="43"/>
      <x:c r="C35" s="43"/>
      <x:c r="D35" s="87"/>
      <x:c r="E35" s="40"/>
      <x:c r="F35" s="43"/>
      <x:c r="G35" s="43"/>
      <x:c r="H35" s="93"/>
      <x:c r="I35" s="96"/>
      <x:c r="J35" s="40"/>
    </x:row>
    <x:row r="36" ht="18" customHeight="1">
      <x:c r="A36" s="43"/>
      <x:c r="B36" s="43"/>
      <x:c r="C36" s="43"/>
      <x:c r="D36" s="87"/>
      <x:c r="E36" s="40"/>
      <x:c r="F36" s="43"/>
      <x:c r="G36" s="43"/>
      <x:c r="H36" s="93"/>
      <x:c r="I36" s="96"/>
      <x:c r="J36" s="40"/>
    </x:row>
    <x:row r="37" ht="18" customHeight="1">
      <x:c r="A37" s="43"/>
      <x:c r="B37" s="43"/>
      <x:c r="C37" s="43"/>
      <x:c r="D37" s="87"/>
      <x:c r="E37" s="40"/>
      <x:c r="F37" s="43"/>
      <x:c r="G37" s="43"/>
      <x:c r="H37" s="93"/>
      <x:c r="I37" s="96"/>
      <x:c r="J37" s="40"/>
    </x:row>
    <x:row r="38" ht="18" customHeight="1">
      <x:c r="A38" s="43"/>
      <x:c r="B38" s="43"/>
      <x:c r="C38" s="43"/>
      <x:c r="D38" s="87"/>
      <x:c r="E38" s="40"/>
      <x:c r="F38" s="43"/>
      <x:c r="G38" s="43"/>
      <x:c r="H38" s="93"/>
      <x:c r="I38" s="96"/>
      <x:c r="J38" s="40"/>
    </x:row>
    <x:row r="39" ht="18" customHeight="1">
      <x:c r="A39" s="43"/>
      <x:c r="B39" s="43"/>
      <x:c r="C39" s="43"/>
      <x:c r="D39" s="87"/>
      <x:c r="E39" s="40"/>
      <x:c r="F39" s="43"/>
      <x:c r="G39" s="43"/>
      <x:c r="H39" s="93"/>
      <x:c r="I39" s="96"/>
      <x:c r="J39" s="40"/>
    </x:row>
    <x:row r="40" ht="18" customHeight="1">
      <x:c r="A40" s="43"/>
      <x:c r="B40" s="43"/>
      <x:c r="C40" s="43"/>
      <x:c r="D40" s="87"/>
      <x:c r="E40" s="40"/>
      <x:c r="F40" s="43"/>
      <x:c r="G40" s="43"/>
      <x:c r="H40" s="93"/>
      <x:c r="I40" s="96"/>
      <x:c r="J40" s="40"/>
    </x:row>
    <x:row r="41" ht="18" customHeight="1">
      <x:c r="A41" s="43"/>
      <x:c r="B41" s="43"/>
      <x:c r="C41" s="43"/>
      <x:c r="D41" s="87"/>
      <x:c r="E41" s="40"/>
      <x:c r="F41" s="43"/>
      <x:c r="G41" s="43"/>
      <x:c r="H41" s="93"/>
      <x:c r="I41" s="96"/>
      <x:c r="J41" s="40"/>
    </x:row>
    <x:row r="42" ht="18" customHeight="1">
      <x:c r="A42" s="43"/>
      <x:c r="B42" s="43"/>
      <x:c r="C42" s="43"/>
      <x:c r="D42" s="87"/>
      <x:c r="E42" s="40"/>
      <x:c r="F42" s="43"/>
      <x:c r="G42" s="43"/>
      <x:c r="H42" s="93"/>
      <x:c r="I42" s="96"/>
      <x:c r="J42" s="40"/>
    </x:row>
    <x:row r="43" ht="18" customHeight="1">
      <x:c r="A43" s="43"/>
      <x:c r="B43" s="43"/>
      <x:c r="C43" s="43"/>
      <x:c r="D43" s="87"/>
      <x:c r="E43" s="40"/>
      <x:c r="F43" s="43"/>
      <x:c r="G43" s="43"/>
      <x:c r="H43" s="93"/>
      <x:c r="I43" s="96"/>
      <x:c r="J43" s="40"/>
    </x:row>
    <x:row r="44" ht="18" customHeight="1">
      <x:c r="A44" s="43"/>
      <x:c r="B44" s="43"/>
      <x:c r="C44" s="43"/>
      <x:c r="D44" s="87"/>
      <x:c r="E44" s="40"/>
      <x:c r="F44" s="43"/>
      <x:c r="G44" s="43"/>
      <x:c r="H44" s="93"/>
      <x:c r="I44" s="96"/>
      <x:c r="J44" s="40"/>
    </x:row>
    <x:row r="45" ht="18" customHeight="1">
      <x:c r="A45" s="43"/>
      <x:c r="B45" s="43"/>
      <x:c r="C45" s="43"/>
      <x:c r="D45" s="87"/>
      <x:c r="E45" s="40"/>
      <x:c r="F45" s="43"/>
      <x:c r="G45" s="43"/>
      <x:c r="H45" s="93"/>
      <x:c r="I45" s="96"/>
      <x:c r="J45" s="40"/>
    </x:row>
    <x:row r="46" ht="18" customHeight="1">
      <x:c r="A46" s="43"/>
      <x:c r="B46" s="43"/>
      <x:c r="C46" s="43"/>
      <x:c r="D46" s="87"/>
      <x:c r="E46" s="40"/>
      <x:c r="F46" s="43"/>
      <x:c r="G46" s="43"/>
      <x:c r="H46" s="93"/>
      <x:c r="I46" s="96"/>
      <x:c r="J46" s="40"/>
    </x:row>
    <x:row r="47" ht="18" customHeight="1">
      <x:c r="A47" s="43"/>
      <x:c r="B47" s="43"/>
      <x:c r="C47" s="43"/>
      <x:c r="D47" s="87"/>
      <x:c r="E47" s="40"/>
      <x:c r="F47" s="43"/>
      <x:c r="G47" s="43"/>
      <x:c r="H47" s="93"/>
      <x:c r="I47" s="96"/>
      <x:c r="J47" s="40"/>
    </x:row>
    <x:row r="48" ht="18" customHeight="1">
      <x:c r="A48" s="43"/>
      <x:c r="B48" s="43"/>
      <x:c r="C48" s="43"/>
      <x:c r="D48" s="87"/>
      <x:c r="E48" s="40"/>
      <x:c r="F48" s="43"/>
      <x:c r="G48" s="43"/>
      <x:c r="H48" s="93"/>
      <x:c r="I48" s="96"/>
      <x:c r="J48" s="40"/>
    </x:row>
    <x:row r="49" ht="18" customHeight="1">
      <x:c r="A49" s="43"/>
      <x:c r="B49" s="43"/>
      <x:c r="C49" s="43"/>
      <x:c r="D49" s="87"/>
      <x:c r="E49" s="40"/>
      <x:c r="F49" s="43"/>
      <x:c r="G49" s="43"/>
      <x:c r="H49" s="93"/>
      <x:c r="I49" s="96"/>
      <x:c r="J49" s="40"/>
    </x:row>
    <x:row r="50" ht="18" customHeight="1">
      <x:c r="A50" s="43"/>
      <x:c r="B50" s="43"/>
      <x:c r="C50" s="43"/>
      <x:c r="D50" s="87"/>
      <x:c r="E50" s="40"/>
      <x:c r="F50" s="43"/>
      <x:c r="G50" s="43"/>
      <x:c r="H50" s="93"/>
      <x:c r="I50" s="96"/>
      <x:c r="J50" s="40"/>
    </x:row>
    <x:row r="51" ht="18" customHeight="1">
      <x:c r="A51" s="43"/>
      <x:c r="B51" s="43"/>
      <x:c r="C51" s="43"/>
      <x:c r="D51" s="87"/>
      <x:c r="E51" s="40"/>
      <x:c r="F51" s="43"/>
      <x:c r="G51" s="43"/>
      <x:c r="H51" s="93"/>
      <x:c r="I51" s="96"/>
      <x:c r="J51" s="40"/>
    </x:row>
    <x:row r="52" ht="18" customHeight="1">
      <x:c r="A52" s="43"/>
      <x:c r="B52" s="43"/>
      <x:c r="C52" s="43"/>
      <x:c r="D52" s="87"/>
      <x:c r="E52" s="40"/>
      <x:c r="F52" s="43"/>
      <x:c r="G52" s="43"/>
      <x:c r="H52" s="93"/>
      <x:c r="I52" s="96"/>
      <x:c r="J52" s="40"/>
    </x:row>
    <x:row r="53" ht="18" customHeight="1">
      <x:c r="A53" s="43"/>
      <x:c r="B53" s="43"/>
      <x:c r="C53" s="43"/>
      <x:c r="D53" s="87"/>
      <x:c r="E53" s="40"/>
      <x:c r="F53" s="43"/>
      <x:c r="G53" s="43"/>
      <x:c r="H53" s="93"/>
      <x:c r="I53" s="96"/>
      <x:c r="J53" s="40"/>
    </x:row>
    <x:row r="54" ht="18" customHeight="1">
      <x:c r="A54" s="43"/>
      <x:c r="B54" s="43"/>
      <x:c r="C54" s="43"/>
      <x:c r="D54" s="87"/>
      <x:c r="E54" s="40"/>
      <x:c r="F54" s="43"/>
      <x:c r="G54" s="43"/>
      <x:c r="H54" s="93"/>
      <x:c r="I54" s="96"/>
      <x:c r="J54" s="40"/>
    </x:row>
    <x:row r="55" ht="18" customHeight="1">
      <x:c r="A55" s="43"/>
      <x:c r="B55" s="43"/>
      <x:c r="C55" s="43"/>
      <x:c r="D55" s="87"/>
      <x:c r="E55" s="40"/>
      <x:c r="F55" s="43"/>
      <x:c r="G55" s="43"/>
      <x:c r="H55" s="93"/>
      <x:c r="I55" s="96"/>
      <x:c r="J55" s="40"/>
    </x:row>
    <x:row r="56" ht="18" customHeight="1">
      <x:c r="A56" s="43"/>
      <x:c r="B56" s="43"/>
      <x:c r="C56" s="43"/>
      <x:c r="D56" s="87"/>
      <x:c r="E56" s="40"/>
      <x:c r="F56" s="43"/>
      <x:c r="G56" s="43"/>
      <x:c r="H56" s="93"/>
      <x:c r="I56" s="96"/>
      <x:c r="J56" s="40"/>
    </x:row>
    <x:row r="57" ht="18" customHeight="1">
      <x:c r="A57" s="43"/>
      <x:c r="B57" s="43"/>
      <x:c r="C57" s="43"/>
      <x:c r="D57" s="87"/>
      <x:c r="E57" s="40"/>
      <x:c r="F57" s="43"/>
      <x:c r="G57" s="43"/>
      <x:c r="H57" s="93"/>
      <x:c r="I57" s="96"/>
      <x:c r="J57" s="40"/>
    </x:row>
    <x:row r="58" ht="18" customHeight="1">
      <x:c r="A58" s="43"/>
      <x:c r="B58" s="43"/>
      <x:c r="C58" s="43"/>
      <x:c r="D58" s="87"/>
      <x:c r="E58" s="40"/>
      <x:c r="F58" s="43"/>
      <x:c r="G58" s="43"/>
      <x:c r="H58" s="93"/>
      <x:c r="I58" s="96"/>
      <x:c r="J58" s="40"/>
    </x:row>
    <x:row r="59" ht="18" customHeight="1">
      <x:c r="A59" s="43"/>
      <x:c r="B59" s="43"/>
      <x:c r="C59" s="43"/>
      <x:c r="D59" s="87"/>
      <x:c r="E59" s="40"/>
      <x:c r="F59" s="43"/>
      <x:c r="G59" s="43"/>
      <x:c r="H59" s="93"/>
      <x:c r="I59" s="96"/>
      <x:c r="J59" s="40"/>
    </x:row>
    <x:row r="60" ht="18" customHeight="1">
      <x:c r="A60" s="43"/>
      <x:c r="B60" s="43"/>
      <x:c r="C60" s="43"/>
      <x:c r="D60" s="87"/>
      <x:c r="E60" s="40"/>
      <x:c r="F60" s="43"/>
      <x:c r="G60" s="43"/>
      <x:c r="H60" s="93"/>
      <x:c r="I60" s="96"/>
      <x:c r="J60" s="40"/>
    </x:row>
    <x:row r="61" ht="18" customHeight="1">
      <x:c r="A61" s="43"/>
      <x:c r="B61" s="43"/>
      <x:c r="C61" s="43"/>
      <x:c r="D61" s="87"/>
      <x:c r="E61" s="40"/>
      <x:c r="F61" s="43"/>
      <x:c r="G61" s="43"/>
      <x:c r="H61" s="93"/>
      <x:c r="I61" s="96"/>
      <x:c r="J61" s="40"/>
    </x:row>
    <x:row r="62" ht="18" customHeight="1">
      <x:c r="A62" s="43"/>
      <x:c r="B62" s="43"/>
      <x:c r="C62" s="43"/>
      <x:c r="D62" s="87"/>
      <x:c r="E62" s="40"/>
      <x:c r="F62" s="43"/>
      <x:c r="G62" s="43"/>
      <x:c r="H62" s="93"/>
      <x:c r="I62" s="96"/>
      <x:c r="J62" s="40"/>
    </x:row>
    <x:row r="63" ht="18" customHeight="1">
      <x:c r="A63" s="43"/>
      <x:c r="B63" s="43"/>
      <x:c r="C63" s="43"/>
      <x:c r="D63" s="87"/>
      <x:c r="E63" s="40"/>
      <x:c r="F63" s="43"/>
      <x:c r="G63" s="43"/>
      <x:c r="H63" s="93"/>
      <x:c r="I63" s="96"/>
      <x:c r="J63" s="40"/>
    </x:row>
    <x:row r="64" ht="18" customHeight="1">
      <x:c r="A64" s="43"/>
      <x:c r="B64" s="43"/>
      <x:c r="C64" s="43"/>
      <x:c r="D64" s="87"/>
      <x:c r="E64" s="40"/>
      <x:c r="F64" s="43"/>
      <x:c r="G64" s="43"/>
      <x:c r="H64" s="93"/>
      <x:c r="I64" s="96"/>
      <x:c r="J64" s="40"/>
    </x:row>
    <x:row r="65" ht="18" customHeight="1">
      <x:c r="A65" s="43"/>
      <x:c r="B65" s="43"/>
      <x:c r="C65" s="43"/>
      <x:c r="D65" s="87"/>
      <x:c r="E65" s="40"/>
      <x:c r="F65" s="43"/>
      <x:c r="G65" s="43"/>
      <x:c r="H65" s="93"/>
      <x:c r="I65" s="96"/>
      <x:c r="J65" s="40"/>
    </x:row>
    <x:row r="66" ht="18" customHeight="1">
      <x:c r="A66" s="44"/>
      <x:c r="B66" s="44"/>
      <x:c r="C66" s="44"/>
      <x:c r="D66" s="88"/>
      <x:c r="E66" s="41"/>
      <x:c r="F66" s="44"/>
      <x:c r="G66" s="44"/>
      <x:c r="H66" s="94"/>
      <x:c r="I66" s="97"/>
      <x:c r="J66" s="41"/>
    </x:row>
  </x:sheetData>
  <x:mergeCells>
    <x:mergeCell ref="A1:J1"/>
    <x:mergeCell ref="A2:J2"/>
    <x:mergeCell ref="A3:J4"/>
  </x:mergeCells>
  <x:conditionalFormatting sqref="F7:F66">
    <x:cfRule type="containsText" dxfId="17" priority="1" operator="containsText" text="启用"/>
    <x:cfRule type="containsText" dxfId="18" priority="2" operator="containsText" text="已发布"/>
    <x:cfRule type="containsText" dxfId="19" priority="3" operator="containsText" text="草稿"/>
    <x:cfRule type="containsText" dxfId="20" priority="4" operator="containsText" text="停用"/>
  </x:conditionalFormatting>
  <x:conditionalFormatting sqref="A7:A66">
    <x:cfRule type="duplicateValues" dxfId="21" priority="5"/>
  </x:conditionalFormatting>
  <x:dataValidations count="3">
    <x:dataValidation type="list" sqref="B7:B66">
      <x:formula1>'游戏配置'!$A$7:$A$46</x:formula1>
    </x:dataValidation>
    <x:dataValidation type="list" sqref="C7:C66">
      <x:formula1>'国家地区'!$A$7:$A$56</x:formula1>
    </x:dataValidation>
    <x:dataValidation type="list" sqref="F7:F66">
      <x:formula1>"启用,停用"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.6299991607666" hidden="0" customWidth="1"/>
    <x:col min="2" max="2" width="17.5" hidden="0" customWidth="1"/>
    <x:col min="3" max="3" width="13.130000114440918" hidden="0" customWidth="1"/>
    <x:col min="4" max="4" width="11.880000114440918" hidden="0" customWidth="1"/>
    <x:col min="5" max="5" width="11.25" hidden="0" customWidth="1"/>
    <x:col min="6" max="6" width="18.1299991607666" hidden="0" customWidth="1"/>
    <x:col min="7" max="7" width="23.75" hidden="0" customWidth="1"/>
    <x:col min="8" max="8" width="11.880000114440918" hidden="0" customWidth="1"/>
    <x:col min="9" max="9" width="16.25" hidden="0" customWidth="1"/>
    <x:col min="10" max="10" width="13.130000114440918" hidden="0" customWidth="1"/>
    <x:col min="11" max="11" width="14.380000114440918" hidden="0" customWidth="1"/>
    <x:col min="12" max="12" width="14.380000114440918" hidden="0" customWidth="1"/>
    <x:col min="13" max="13" width="32.5" hidden="0" customWidth="1"/>
  </x:cols>
  <x:sheetData>
    <x:row r="1" ht="28.5" customHeight="1">
      <x:c r="A1" s="3" t="str">
        <x:v>榜单监控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19.5" customHeight="1">
      <x:c r="A2" s="6" t="str">
        <x:v>按游戏、国家、来源、设备和榜单类型配置自动同步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3" ht="21" customHeight="1">
      <x:c r="A3" s="21" t="str">
        <x:v>七麦与点点分别配置一行。默认每 60 分钟同步；实际执行仍受登录状态、并发上限、冷却和站点条款约束。</x:v>
      </x:c>
      <x:c r="B3" s="22"/>
      <x:c r="C3" s="22"/>
      <x:c r="D3" s="22"/>
      <x:c r="E3" s="22"/>
      <x:c r="F3" s="22"/>
      <x:c r="G3" s="22"/>
      <x:c r="H3" s="22"/>
      <x:c r="I3" s="22"/>
      <x:c r="J3" s="22"/>
      <x:c r="K3" s="22"/>
      <x:c r="L3" s="22"/>
      <x:c r="M3" s="23"/>
    </x:row>
    <x:row r="4" ht="21" customHeight="1">
      <x:c r="A4" s="24"/>
      <x:c r="B4" s="25"/>
      <x:c r="C4" s="25"/>
      <x:c r="D4" s="25"/>
      <x:c r="E4" s="25"/>
      <x:c r="F4" s="25"/>
      <x:c r="G4" s="25"/>
      <x:c r="H4" s="25"/>
      <x:c r="I4" s="25"/>
      <x:c r="J4" s="25"/>
      <x:c r="K4" s="25"/>
      <x:c r="L4" s="25"/>
      <x:c r="M4" s="26"/>
    </x:row>
    <x:row r="5">
      <x:c r="A5" s="130"/>
      <x:c r="B5" s="130"/>
      <x:c r="C5" s="130"/>
      <x:c r="D5" s="130"/>
      <x:c r="E5" s="130"/>
      <x:c r="F5" s="130"/>
      <x:c r="G5" s="130"/>
      <x:c r="H5" s="130"/>
      <x:c r="I5" s="130"/>
      <x:c r="J5" s="130"/>
      <x:c r="K5" s="130"/>
      <x:c r="L5" s="130"/>
      <x:c r="M5" s="130"/>
    </x:row>
    <x:row r="6" ht="43.5" customHeight="1">
      <x:c r="A6" s="31" t="str">
        <x:v>monitor_id
监控ID *</x:v>
      </x:c>
      <x:c r="B6" s="31" t="str">
        <x:v>game_id
游戏ID *</x:v>
      </x:c>
      <x:c r="C6" s="31" t="str">
        <x:v>country_code
国家代码 *</x:v>
      </x:c>
      <x:c r="D6" s="31" t="str">
        <x:v>provider
数据来源 *</x:v>
      </x:c>
      <x:c r="E6" s="31" t="str">
        <x:v>device
设备 *</x:v>
      </x:c>
      <x:c r="F6" s="31" t="str">
        <x:v>chart_type
榜单类型 *</x:v>
      </x:c>
      <x:c r="G6" s="31" t="str">
        <x:v>provider_chart_parameter
来源榜单参数</x:v>
      </x:c>
      <x:c r="H6" s="31" t="str">
        <x:v>enabled
启用状态 *</x:v>
      </x:c>
      <x:c r="I6" s="31" t="str">
        <x:v>sync_interval_minutes
同步间隔分钟 *</x:v>
      </x:c>
      <x:c r="J6" s="31" t="str">
        <x:v>config_version
配置版本 *</x:v>
      </x:c>
      <x:c r="K6" s="31" t="str">
        <x:v>effective_date
生效日期 *</x:v>
      </x:c>
      <x:c r="L6" s="31" t="str">
        <x:v>end_date
失效日期</x:v>
      </x:c>
      <x:c r="M6" s="31" t="str">
        <x:v>notes
备注</x:v>
      </x:c>
    </x:row>
    <x:row r="7" ht="18" customHeight="1">
      <x:c r="A7" s="42"/>
      <x:c r="B7" s="42"/>
      <x:c r="C7" s="42"/>
      <x:c r="D7" s="42"/>
      <x:c r="E7" s="42"/>
      <x:c r="F7" s="42"/>
      <x:c r="G7" s="39"/>
      <x:c r="H7" s="42"/>
      <x:c r="I7" s="84"/>
      <x:c r="J7" s="42"/>
      <x:c r="K7" s="92"/>
      <x:c r="L7" s="95"/>
      <x:c r="M7" s="39"/>
    </x:row>
    <x:row r="8" ht="18" customHeight="1">
      <x:c r="A8" s="43"/>
      <x:c r="B8" s="43"/>
      <x:c r="C8" s="43"/>
      <x:c r="D8" s="43"/>
      <x:c r="E8" s="43"/>
      <x:c r="F8" s="43"/>
      <x:c r="G8" s="40"/>
      <x:c r="H8" s="43"/>
      <x:c r="I8" s="81"/>
      <x:c r="J8" s="43"/>
      <x:c r="K8" s="93"/>
      <x:c r="L8" s="96"/>
      <x:c r="M8" s="40"/>
    </x:row>
    <x:row r="9" ht="18" customHeight="1">
      <x:c r="A9" s="43"/>
      <x:c r="B9" s="43"/>
      <x:c r="C9" s="43"/>
      <x:c r="D9" s="43"/>
      <x:c r="E9" s="43"/>
      <x:c r="F9" s="43"/>
      <x:c r="G9" s="40"/>
      <x:c r="H9" s="43"/>
      <x:c r="I9" s="81"/>
      <x:c r="J9" s="43"/>
      <x:c r="K9" s="93"/>
      <x:c r="L9" s="96"/>
      <x:c r="M9" s="40"/>
    </x:row>
    <x:row r="10" ht="18" customHeight="1">
      <x:c r="A10" s="43"/>
      <x:c r="B10" s="43"/>
      <x:c r="C10" s="43"/>
      <x:c r="D10" s="43"/>
      <x:c r="E10" s="43"/>
      <x:c r="F10" s="43"/>
      <x:c r="G10" s="40"/>
      <x:c r="H10" s="43"/>
      <x:c r="I10" s="81"/>
      <x:c r="J10" s="43"/>
      <x:c r="K10" s="93"/>
      <x:c r="L10" s="96"/>
      <x:c r="M10" s="40"/>
    </x:row>
    <x:row r="11" ht="18" customHeight="1">
      <x:c r="A11" s="43"/>
      <x:c r="B11" s="43"/>
      <x:c r="C11" s="43"/>
      <x:c r="D11" s="43"/>
      <x:c r="E11" s="43"/>
      <x:c r="F11" s="43"/>
      <x:c r="G11" s="40"/>
      <x:c r="H11" s="43"/>
      <x:c r="I11" s="81"/>
      <x:c r="J11" s="43"/>
      <x:c r="K11" s="93"/>
      <x:c r="L11" s="96"/>
      <x:c r="M11" s="40"/>
    </x:row>
    <x:row r="12" ht="18" customHeight="1">
      <x:c r="A12" s="43"/>
      <x:c r="B12" s="43"/>
      <x:c r="C12" s="43"/>
      <x:c r="D12" s="43"/>
      <x:c r="E12" s="43"/>
      <x:c r="F12" s="43"/>
      <x:c r="G12" s="40"/>
      <x:c r="H12" s="43"/>
      <x:c r="I12" s="81"/>
      <x:c r="J12" s="43"/>
      <x:c r="K12" s="93"/>
      <x:c r="L12" s="96"/>
      <x:c r="M12" s="40"/>
    </x:row>
    <x:row r="13" ht="18" customHeight="1">
      <x:c r="A13" s="43"/>
      <x:c r="B13" s="43"/>
      <x:c r="C13" s="43"/>
      <x:c r="D13" s="43"/>
      <x:c r="E13" s="43"/>
      <x:c r="F13" s="43"/>
      <x:c r="G13" s="40"/>
      <x:c r="H13" s="43"/>
      <x:c r="I13" s="81"/>
      <x:c r="J13" s="43"/>
      <x:c r="K13" s="93"/>
      <x:c r="L13" s="96"/>
      <x:c r="M13" s="40"/>
    </x:row>
    <x:row r="14" ht="18" customHeight="1">
      <x:c r="A14" s="43"/>
      <x:c r="B14" s="43"/>
      <x:c r="C14" s="43"/>
      <x:c r="D14" s="43"/>
      <x:c r="E14" s="43"/>
      <x:c r="F14" s="43"/>
      <x:c r="G14" s="40"/>
      <x:c r="H14" s="43"/>
      <x:c r="I14" s="81"/>
      <x:c r="J14" s="43"/>
      <x:c r="K14" s="93"/>
      <x:c r="L14" s="96"/>
      <x:c r="M14" s="40"/>
    </x:row>
    <x:row r="15" ht="18" customHeight="1">
      <x:c r="A15" s="43"/>
      <x:c r="B15" s="43"/>
      <x:c r="C15" s="43"/>
      <x:c r="D15" s="43"/>
      <x:c r="E15" s="43"/>
      <x:c r="F15" s="43"/>
      <x:c r="G15" s="40"/>
      <x:c r="H15" s="43"/>
      <x:c r="I15" s="81"/>
      <x:c r="J15" s="43"/>
      <x:c r="K15" s="93"/>
      <x:c r="L15" s="96"/>
      <x:c r="M15" s="40"/>
    </x:row>
    <x:row r="16" ht="18" customHeight="1">
      <x:c r="A16" s="43"/>
      <x:c r="B16" s="43"/>
      <x:c r="C16" s="43"/>
      <x:c r="D16" s="43"/>
      <x:c r="E16" s="43"/>
      <x:c r="F16" s="43"/>
      <x:c r="G16" s="40"/>
      <x:c r="H16" s="43"/>
      <x:c r="I16" s="81"/>
      <x:c r="J16" s="43"/>
      <x:c r="K16" s="93"/>
      <x:c r="L16" s="96"/>
      <x:c r="M16" s="40"/>
    </x:row>
    <x:row r="17" ht="18" customHeight="1">
      <x:c r="A17" s="43"/>
      <x:c r="B17" s="43"/>
      <x:c r="C17" s="43"/>
      <x:c r="D17" s="43"/>
      <x:c r="E17" s="43"/>
      <x:c r="F17" s="43"/>
      <x:c r="G17" s="40"/>
      <x:c r="H17" s="43"/>
      <x:c r="I17" s="81"/>
      <x:c r="J17" s="43"/>
      <x:c r="K17" s="93"/>
      <x:c r="L17" s="96"/>
      <x:c r="M17" s="40"/>
    </x:row>
    <x:row r="18" ht="18" customHeight="1">
      <x:c r="A18" s="43"/>
      <x:c r="B18" s="43"/>
      <x:c r="C18" s="43"/>
      <x:c r="D18" s="43"/>
      <x:c r="E18" s="43"/>
      <x:c r="F18" s="43"/>
      <x:c r="G18" s="40"/>
      <x:c r="H18" s="43"/>
      <x:c r="I18" s="81"/>
      <x:c r="J18" s="43"/>
      <x:c r="K18" s="93"/>
      <x:c r="L18" s="96"/>
      <x:c r="M18" s="40"/>
    </x:row>
    <x:row r="19" ht="18" customHeight="1">
      <x:c r="A19" s="43"/>
      <x:c r="B19" s="43"/>
      <x:c r="C19" s="43"/>
      <x:c r="D19" s="43"/>
      <x:c r="E19" s="43"/>
      <x:c r="F19" s="43"/>
      <x:c r="G19" s="40"/>
      <x:c r="H19" s="43"/>
      <x:c r="I19" s="81"/>
      <x:c r="J19" s="43"/>
      <x:c r="K19" s="93"/>
      <x:c r="L19" s="96"/>
      <x:c r="M19" s="40"/>
    </x:row>
    <x:row r="20" ht="18" customHeight="1">
      <x:c r="A20" s="43"/>
      <x:c r="B20" s="43"/>
      <x:c r="C20" s="43"/>
      <x:c r="D20" s="43"/>
      <x:c r="E20" s="43"/>
      <x:c r="F20" s="43"/>
      <x:c r="G20" s="40"/>
      <x:c r="H20" s="43"/>
      <x:c r="I20" s="81"/>
      <x:c r="J20" s="43"/>
      <x:c r="K20" s="93"/>
      <x:c r="L20" s="96"/>
      <x:c r="M20" s="40"/>
    </x:row>
    <x:row r="21" ht="18" customHeight="1">
      <x:c r="A21" s="43"/>
      <x:c r="B21" s="43"/>
      <x:c r="C21" s="43"/>
      <x:c r="D21" s="43"/>
      <x:c r="E21" s="43"/>
      <x:c r="F21" s="43"/>
      <x:c r="G21" s="40"/>
      <x:c r="H21" s="43"/>
      <x:c r="I21" s="81"/>
      <x:c r="J21" s="43"/>
      <x:c r="K21" s="93"/>
      <x:c r="L21" s="96"/>
      <x:c r="M21" s="40"/>
    </x:row>
    <x:row r="22" ht="18" customHeight="1">
      <x:c r="A22" s="43"/>
      <x:c r="B22" s="43"/>
      <x:c r="C22" s="43"/>
      <x:c r="D22" s="43"/>
      <x:c r="E22" s="43"/>
      <x:c r="F22" s="43"/>
      <x:c r="G22" s="40"/>
      <x:c r="H22" s="43"/>
      <x:c r="I22" s="81"/>
      <x:c r="J22" s="43"/>
      <x:c r="K22" s="93"/>
      <x:c r="L22" s="96"/>
      <x:c r="M22" s="40"/>
    </x:row>
    <x:row r="23" ht="18" customHeight="1">
      <x:c r="A23" s="43"/>
      <x:c r="B23" s="43"/>
      <x:c r="C23" s="43"/>
      <x:c r="D23" s="43"/>
      <x:c r="E23" s="43"/>
      <x:c r="F23" s="43"/>
      <x:c r="G23" s="40"/>
      <x:c r="H23" s="43"/>
      <x:c r="I23" s="81"/>
      <x:c r="J23" s="43"/>
      <x:c r="K23" s="93"/>
      <x:c r="L23" s="96"/>
      <x:c r="M23" s="40"/>
    </x:row>
    <x:row r="24" ht="18" customHeight="1">
      <x:c r="A24" s="43"/>
      <x:c r="B24" s="43"/>
      <x:c r="C24" s="43"/>
      <x:c r="D24" s="43"/>
      <x:c r="E24" s="43"/>
      <x:c r="F24" s="43"/>
      <x:c r="G24" s="40"/>
      <x:c r="H24" s="43"/>
      <x:c r="I24" s="81"/>
      <x:c r="J24" s="43"/>
      <x:c r="K24" s="93"/>
      <x:c r="L24" s="96"/>
      <x:c r="M24" s="40"/>
    </x:row>
    <x:row r="25" ht="18" customHeight="1">
      <x:c r="A25" s="43"/>
      <x:c r="B25" s="43"/>
      <x:c r="C25" s="43"/>
      <x:c r="D25" s="43"/>
      <x:c r="E25" s="43"/>
      <x:c r="F25" s="43"/>
      <x:c r="G25" s="40"/>
      <x:c r="H25" s="43"/>
      <x:c r="I25" s="81"/>
      <x:c r="J25" s="43"/>
      <x:c r="K25" s="93"/>
      <x:c r="L25" s="96"/>
      <x:c r="M25" s="40"/>
    </x:row>
    <x:row r="26" ht="18" customHeight="1">
      <x:c r="A26" s="43"/>
      <x:c r="B26" s="43"/>
      <x:c r="C26" s="43"/>
      <x:c r="D26" s="43"/>
      <x:c r="E26" s="43"/>
      <x:c r="F26" s="43"/>
      <x:c r="G26" s="40"/>
      <x:c r="H26" s="43"/>
      <x:c r="I26" s="81"/>
      <x:c r="J26" s="43"/>
      <x:c r="K26" s="93"/>
      <x:c r="L26" s="96"/>
      <x:c r="M26" s="40"/>
    </x:row>
    <x:row r="27" ht="18" customHeight="1">
      <x:c r="A27" s="43"/>
      <x:c r="B27" s="43"/>
      <x:c r="C27" s="43"/>
      <x:c r="D27" s="43"/>
      <x:c r="E27" s="43"/>
      <x:c r="F27" s="43"/>
      <x:c r="G27" s="40"/>
      <x:c r="H27" s="43"/>
      <x:c r="I27" s="81"/>
      <x:c r="J27" s="43"/>
      <x:c r="K27" s="93"/>
      <x:c r="L27" s="96"/>
      <x:c r="M27" s="40"/>
    </x:row>
    <x:row r="28" ht="18" customHeight="1">
      <x:c r="A28" s="43"/>
      <x:c r="B28" s="43"/>
      <x:c r="C28" s="43"/>
      <x:c r="D28" s="43"/>
      <x:c r="E28" s="43"/>
      <x:c r="F28" s="43"/>
      <x:c r="G28" s="40"/>
      <x:c r="H28" s="43"/>
      <x:c r="I28" s="81"/>
      <x:c r="J28" s="43"/>
      <x:c r="K28" s="93"/>
      <x:c r="L28" s="96"/>
      <x:c r="M28" s="40"/>
    </x:row>
    <x:row r="29" ht="18" customHeight="1">
      <x:c r="A29" s="43"/>
      <x:c r="B29" s="43"/>
      <x:c r="C29" s="43"/>
      <x:c r="D29" s="43"/>
      <x:c r="E29" s="43"/>
      <x:c r="F29" s="43"/>
      <x:c r="G29" s="40"/>
      <x:c r="H29" s="43"/>
      <x:c r="I29" s="81"/>
      <x:c r="J29" s="43"/>
      <x:c r="K29" s="93"/>
      <x:c r="L29" s="96"/>
      <x:c r="M29" s="40"/>
    </x:row>
    <x:row r="30" ht="18" customHeight="1">
      <x:c r="A30" s="43"/>
      <x:c r="B30" s="43"/>
      <x:c r="C30" s="43"/>
      <x:c r="D30" s="43"/>
      <x:c r="E30" s="43"/>
      <x:c r="F30" s="43"/>
      <x:c r="G30" s="40"/>
      <x:c r="H30" s="43"/>
      <x:c r="I30" s="81"/>
      <x:c r="J30" s="43"/>
      <x:c r="K30" s="93"/>
      <x:c r="L30" s="96"/>
      <x:c r="M30" s="40"/>
    </x:row>
    <x:row r="31" ht="18" customHeight="1">
      <x:c r="A31" s="43"/>
      <x:c r="B31" s="43"/>
      <x:c r="C31" s="43"/>
      <x:c r="D31" s="43"/>
      <x:c r="E31" s="43"/>
      <x:c r="F31" s="43"/>
      <x:c r="G31" s="40"/>
      <x:c r="H31" s="43"/>
      <x:c r="I31" s="81"/>
      <x:c r="J31" s="43"/>
      <x:c r="K31" s="93"/>
      <x:c r="L31" s="96"/>
      <x:c r="M31" s="40"/>
    </x:row>
    <x:row r="32" ht="18" customHeight="1">
      <x:c r="A32" s="43"/>
      <x:c r="B32" s="43"/>
      <x:c r="C32" s="43"/>
      <x:c r="D32" s="43"/>
      <x:c r="E32" s="43"/>
      <x:c r="F32" s="43"/>
      <x:c r="G32" s="40"/>
      <x:c r="H32" s="43"/>
      <x:c r="I32" s="81"/>
      <x:c r="J32" s="43"/>
      <x:c r="K32" s="93"/>
      <x:c r="L32" s="96"/>
      <x:c r="M32" s="40"/>
    </x:row>
    <x:row r="33" ht="18" customHeight="1">
      <x:c r="A33" s="43"/>
      <x:c r="B33" s="43"/>
      <x:c r="C33" s="43"/>
      <x:c r="D33" s="43"/>
      <x:c r="E33" s="43"/>
      <x:c r="F33" s="43"/>
      <x:c r="G33" s="40"/>
      <x:c r="H33" s="43"/>
      <x:c r="I33" s="81"/>
      <x:c r="J33" s="43"/>
      <x:c r="K33" s="93"/>
      <x:c r="L33" s="96"/>
      <x:c r="M33" s="40"/>
    </x:row>
    <x:row r="34" ht="18" customHeight="1">
      <x:c r="A34" s="43"/>
      <x:c r="B34" s="43"/>
      <x:c r="C34" s="43"/>
      <x:c r="D34" s="43"/>
      <x:c r="E34" s="43"/>
      <x:c r="F34" s="43"/>
      <x:c r="G34" s="40"/>
      <x:c r="H34" s="43"/>
      <x:c r="I34" s="81"/>
      <x:c r="J34" s="43"/>
      <x:c r="K34" s="93"/>
      <x:c r="L34" s="96"/>
      <x:c r="M34" s="40"/>
    </x:row>
    <x:row r="35" ht="18" customHeight="1">
      <x:c r="A35" s="43"/>
      <x:c r="B35" s="43"/>
      <x:c r="C35" s="43"/>
      <x:c r="D35" s="43"/>
      <x:c r="E35" s="43"/>
      <x:c r="F35" s="43"/>
      <x:c r="G35" s="40"/>
      <x:c r="H35" s="43"/>
      <x:c r="I35" s="81"/>
      <x:c r="J35" s="43"/>
      <x:c r="K35" s="93"/>
      <x:c r="L35" s="96"/>
      <x:c r="M35" s="40"/>
    </x:row>
    <x:row r="36" ht="18" customHeight="1">
      <x:c r="A36" s="43"/>
      <x:c r="B36" s="43"/>
      <x:c r="C36" s="43"/>
      <x:c r="D36" s="43"/>
      <x:c r="E36" s="43"/>
      <x:c r="F36" s="43"/>
      <x:c r="G36" s="40"/>
      <x:c r="H36" s="43"/>
      <x:c r="I36" s="81"/>
      <x:c r="J36" s="43"/>
      <x:c r="K36" s="93"/>
      <x:c r="L36" s="96"/>
      <x:c r="M36" s="40"/>
    </x:row>
    <x:row r="37" ht="18" customHeight="1">
      <x:c r="A37" s="43"/>
      <x:c r="B37" s="43"/>
      <x:c r="C37" s="43"/>
      <x:c r="D37" s="43"/>
      <x:c r="E37" s="43"/>
      <x:c r="F37" s="43"/>
      <x:c r="G37" s="40"/>
      <x:c r="H37" s="43"/>
      <x:c r="I37" s="81"/>
      <x:c r="J37" s="43"/>
      <x:c r="K37" s="93"/>
      <x:c r="L37" s="96"/>
      <x:c r="M37" s="40"/>
    </x:row>
    <x:row r="38" ht="18" customHeight="1">
      <x:c r="A38" s="43"/>
      <x:c r="B38" s="43"/>
      <x:c r="C38" s="43"/>
      <x:c r="D38" s="43"/>
      <x:c r="E38" s="43"/>
      <x:c r="F38" s="43"/>
      <x:c r="G38" s="40"/>
      <x:c r="H38" s="43"/>
      <x:c r="I38" s="81"/>
      <x:c r="J38" s="43"/>
      <x:c r="K38" s="93"/>
      <x:c r="L38" s="96"/>
      <x:c r="M38" s="40"/>
    </x:row>
    <x:row r="39" ht="18" customHeight="1">
      <x:c r="A39" s="43"/>
      <x:c r="B39" s="43"/>
      <x:c r="C39" s="43"/>
      <x:c r="D39" s="43"/>
      <x:c r="E39" s="43"/>
      <x:c r="F39" s="43"/>
      <x:c r="G39" s="40"/>
      <x:c r="H39" s="43"/>
      <x:c r="I39" s="81"/>
      <x:c r="J39" s="43"/>
      <x:c r="K39" s="93"/>
      <x:c r="L39" s="96"/>
      <x:c r="M39" s="40"/>
    </x:row>
    <x:row r="40" ht="18" customHeight="1">
      <x:c r="A40" s="43"/>
      <x:c r="B40" s="43"/>
      <x:c r="C40" s="43"/>
      <x:c r="D40" s="43"/>
      <x:c r="E40" s="43"/>
      <x:c r="F40" s="43"/>
      <x:c r="G40" s="40"/>
      <x:c r="H40" s="43"/>
      <x:c r="I40" s="81"/>
      <x:c r="J40" s="43"/>
      <x:c r="K40" s="93"/>
      <x:c r="L40" s="96"/>
      <x:c r="M40" s="40"/>
    </x:row>
    <x:row r="41" ht="18" customHeight="1">
      <x:c r="A41" s="43"/>
      <x:c r="B41" s="43"/>
      <x:c r="C41" s="43"/>
      <x:c r="D41" s="43"/>
      <x:c r="E41" s="43"/>
      <x:c r="F41" s="43"/>
      <x:c r="G41" s="40"/>
      <x:c r="H41" s="43"/>
      <x:c r="I41" s="81"/>
      <x:c r="J41" s="43"/>
      <x:c r="K41" s="93"/>
      <x:c r="L41" s="96"/>
      <x:c r="M41" s="40"/>
    </x:row>
    <x:row r="42" ht="18" customHeight="1">
      <x:c r="A42" s="43"/>
      <x:c r="B42" s="43"/>
      <x:c r="C42" s="43"/>
      <x:c r="D42" s="43"/>
      <x:c r="E42" s="43"/>
      <x:c r="F42" s="43"/>
      <x:c r="G42" s="40"/>
      <x:c r="H42" s="43"/>
      <x:c r="I42" s="81"/>
      <x:c r="J42" s="43"/>
      <x:c r="K42" s="93"/>
      <x:c r="L42" s="96"/>
      <x:c r="M42" s="40"/>
    </x:row>
    <x:row r="43" ht="18" customHeight="1">
      <x:c r="A43" s="43"/>
      <x:c r="B43" s="43"/>
      <x:c r="C43" s="43"/>
      <x:c r="D43" s="43"/>
      <x:c r="E43" s="43"/>
      <x:c r="F43" s="43"/>
      <x:c r="G43" s="40"/>
      <x:c r="H43" s="43"/>
      <x:c r="I43" s="81"/>
      <x:c r="J43" s="43"/>
      <x:c r="K43" s="93"/>
      <x:c r="L43" s="96"/>
      <x:c r="M43" s="40"/>
    </x:row>
    <x:row r="44" ht="18" customHeight="1">
      <x:c r="A44" s="43"/>
      <x:c r="B44" s="43"/>
      <x:c r="C44" s="43"/>
      <x:c r="D44" s="43"/>
      <x:c r="E44" s="43"/>
      <x:c r="F44" s="43"/>
      <x:c r="G44" s="40"/>
      <x:c r="H44" s="43"/>
      <x:c r="I44" s="81"/>
      <x:c r="J44" s="43"/>
      <x:c r="K44" s="93"/>
      <x:c r="L44" s="96"/>
      <x:c r="M44" s="40"/>
    </x:row>
    <x:row r="45" ht="18" customHeight="1">
      <x:c r="A45" s="43"/>
      <x:c r="B45" s="43"/>
      <x:c r="C45" s="43"/>
      <x:c r="D45" s="43"/>
      <x:c r="E45" s="43"/>
      <x:c r="F45" s="43"/>
      <x:c r="G45" s="40"/>
      <x:c r="H45" s="43"/>
      <x:c r="I45" s="81"/>
      <x:c r="J45" s="43"/>
      <x:c r="K45" s="93"/>
      <x:c r="L45" s="96"/>
      <x:c r="M45" s="40"/>
    </x:row>
    <x:row r="46" ht="18" customHeight="1">
      <x:c r="A46" s="43"/>
      <x:c r="B46" s="43"/>
      <x:c r="C46" s="43"/>
      <x:c r="D46" s="43"/>
      <x:c r="E46" s="43"/>
      <x:c r="F46" s="43"/>
      <x:c r="G46" s="40"/>
      <x:c r="H46" s="43"/>
      <x:c r="I46" s="81"/>
      <x:c r="J46" s="43"/>
      <x:c r="K46" s="93"/>
      <x:c r="L46" s="96"/>
      <x:c r="M46" s="40"/>
    </x:row>
    <x:row r="47" ht="18" customHeight="1">
      <x:c r="A47" s="43"/>
      <x:c r="B47" s="43"/>
      <x:c r="C47" s="43"/>
      <x:c r="D47" s="43"/>
      <x:c r="E47" s="43"/>
      <x:c r="F47" s="43"/>
      <x:c r="G47" s="40"/>
      <x:c r="H47" s="43"/>
      <x:c r="I47" s="81"/>
      <x:c r="J47" s="43"/>
      <x:c r="K47" s="93"/>
      <x:c r="L47" s="96"/>
      <x:c r="M47" s="40"/>
    </x:row>
    <x:row r="48" ht="18" customHeight="1">
      <x:c r="A48" s="43"/>
      <x:c r="B48" s="43"/>
      <x:c r="C48" s="43"/>
      <x:c r="D48" s="43"/>
      <x:c r="E48" s="43"/>
      <x:c r="F48" s="43"/>
      <x:c r="G48" s="40"/>
      <x:c r="H48" s="43"/>
      <x:c r="I48" s="81"/>
      <x:c r="J48" s="43"/>
      <x:c r="K48" s="93"/>
      <x:c r="L48" s="96"/>
      <x:c r="M48" s="40"/>
    </x:row>
    <x:row r="49" ht="18" customHeight="1">
      <x:c r="A49" s="43"/>
      <x:c r="B49" s="43"/>
      <x:c r="C49" s="43"/>
      <x:c r="D49" s="43"/>
      <x:c r="E49" s="43"/>
      <x:c r="F49" s="43"/>
      <x:c r="G49" s="40"/>
      <x:c r="H49" s="43"/>
      <x:c r="I49" s="81"/>
      <x:c r="J49" s="43"/>
      <x:c r="K49" s="93"/>
      <x:c r="L49" s="96"/>
      <x:c r="M49" s="40"/>
    </x:row>
    <x:row r="50" ht="18" customHeight="1">
      <x:c r="A50" s="43"/>
      <x:c r="B50" s="43"/>
      <x:c r="C50" s="43"/>
      <x:c r="D50" s="43"/>
      <x:c r="E50" s="43"/>
      <x:c r="F50" s="43"/>
      <x:c r="G50" s="40"/>
      <x:c r="H50" s="43"/>
      <x:c r="I50" s="81"/>
      <x:c r="J50" s="43"/>
      <x:c r="K50" s="93"/>
      <x:c r="L50" s="96"/>
      <x:c r="M50" s="40"/>
    </x:row>
    <x:row r="51" ht="18" customHeight="1">
      <x:c r="A51" s="43"/>
      <x:c r="B51" s="43"/>
      <x:c r="C51" s="43"/>
      <x:c r="D51" s="43"/>
      <x:c r="E51" s="43"/>
      <x:c r="F51" s="43"/>
      <x:c r="G51" s="40"/>
      <x:c r="H51" s="43"/>
      <x:c r="I51" s="81"/>
      <x:c r="J51" s="43"/>
      <x:c r="K51" s="93"/>
      <x:c r="L51" s="96"/>
      <x:c r="M51" s="40"/>
    </x:row>
    <x:row r="52" ht="18" customHeight="1">
      <x:c r="A52" s="43"/>
      <x:c r="B52" s="43"/>
      <x:c r="C52" s="43"/>
      <x:c r="D52" s="43"/>
      <x:c r="E52" s="43"/>
      <x:c r="F52" s="43"/>
      <x:c r="G52" s="40"/>
      <x:c r="H52" s="43"/>
      <x:c r="I52" s="81"/>
      <x:c r="J52" s="43"/>
      <x:c r="K52" s="93"/>
      <x:c r="L52" s="96"/>
      <x:c r="M52" s="40"/>
    </x:row>
    <x:row r="53" ht="18" customHeight="1">
      <x:c r="A53" s="43"/>
      <x:c r="B53" s="43"/>
      <x:c r="C53" s="43"/>
      <x:c r="D53" s="43"/>
      <x:c r="E53" s="43"/>
      <x:c r="F53" s="43"/>
      <x:c r="G53" s="40"/>
      <x:c r="H53" s="43"/>
      <x:c r="I53" s="81"/>
      <x:c r="J53" s="43"/>
      <x:c r="K53" s="93"/>
      <x:c r="L53" s="96"/>
      <x:c r="M53" s="40"/>
    </x:row>
    <x:row r="54" ht="18" customHeight="1">
      <x:c r="A54" s="43"/>
      <x:c r="B54" s="43"/>
      <x:c r="C54" s="43"/>
      <x:c r="D54" s="43"/>
      <x:c r="E54" s="43"/>
      <x:c r="F54" s="43"/>
      <x:c r="G54" s="40"/>
      <x:c r="H54" s="43"/>
      <x:c r="I54" s="81"/>
      <x:c r="J54" s="43"/>
      <x:c r="K54" s="93"/>
      <x:c r="L54" s="96"/>
      <x:c r="M54" s="40"/>
    </x:row>
    <x:row r="55" ht="18" customHeight="1">
      <x:c r="A55" s="43"/>
      <x:c r="B55" s="43"/>
      <x:c r="C55" s="43"/>
      <x:c r="D55" s="43"/>
      <x:c r="E55" s="43"/>
      <x:c r="F55" s="43"/>
      <x:c r="G55" s="40"/>
      <x:c r="H55" s="43"/>
      <x:c r="I55" s="81"/>
      <x:c r="J55" s="43"/>
      <x:c r="K55" s="93"/>
      <x:c r="L55" s="96"/>
      <x:c r="M55" s="40"/>
    </x:row>
    <x:row r="56" ht="18" customHeight="1">
      <x:c r="A56" s="43"/>
      <x:c r="B56" s="43"/>
      <x:c r="C56" s="43"/>
      <x:c r="D56" s="43"/>
      <x:c r="E56" s="43"/>
      <x:c r="F56" s="43"/>
      <x:c r="G56" s="40"/>
      <x:c r="H56" s="43"/>
      <x:c r="I56" s="81"/>
      <x:c r="J56" s="43"/>
      <x:c r="K56" s="93"/>
      <x:c r="L56" s="96"/>
      <x:c r="M56" s="40"/>
    </x:row>
    <x:row r="57" ht="18" customHeight="1">
      <x:c r="A57" s="43"/>
      <x:c r="B57" s="43"/>
      <x:c r="C57" s="43"/>
      <x:c r="D57" s="43"/>
      <x:c r="E57" s="43"/>
      <x:c r="F57" s="43"/>
      <x:c r="G57" s="40"/>
      <x:c r="H57" s="43"/>
      <x:c r="I57" s="81"/>
      <x:c r="J57" s="43"/>
      <x:c r="K57" s="93"/>
      <x:c r="L57" s="96"/>
      <x:c r="M57" s="40"/>
    </x:row>
    <x:row r="58" ht="18" customHeight="1">
      <x:c r="A58" s="43"/>
      <x:c r="B58" s="43"/>
      <x:c r="C58" s="43"/>
      <x:c r="D58" s="43"/>
      <x:c r="E58" s="43"/>
      <x:c r="F58" s="43"/>
      <x:c r="G58" s="40"/>
      <x:c r="H58" s="43"/>
      <x:c r="I58" s="81"/>
      <x:c r="J58" s="43"/>
      <x:c r="K58" s="93"/>
      <x:c r="L58" s="96"/>
      <x:c r="M58" s="40"/>
    </x:row>
    <x:row r="59" ht="18" customHeight="1">
      <x:c r="A59" s="43"/>
      <x:c r="B59" s="43"/>
      <x:c r="C59" s="43"/>
      <x:c r="D59" s="43"/>
      <x:c r="E59" s="43"/>
      <x:c r="F59" s="43"/>
      <x:c r="G59" s="40"/>
      <x:c r="H59" s="43"/>
      <x:c r="I59" s="81"/>
      <x:c r="J59" s="43"/>
      <x:c r="K59" s="93"/>
      <x:c r="L59" s="96"/>
      <x:c r="M59" s="40"/>
    </x:row>
    <x:row r="60" ht="18" customHeight="1">
      <x:c r="A60" s="43"/>
      <x:c r="B60" s="43"/>
      <x:c r="C60" s="43"/>
      <x:c r="D60" s="43"/>
      <x:c r="E60" s="43"/>
      <x:c r="F60" s="43"/>
      <x:c r="G60" s="40"/>
      <x:c r="H60" s="43"/>
      <x:c r="I60" s="81"/>
      <x:c r="J60" s="43"/>
      <x:c r="K60" s="93"/>
      <x:c r="L60" s="96"/>
      <x:c r="M60" s="40"/>
    </x:row>
    <x:row r="61" ht="18" customHeight="1">
      <x:c r="A61" s="43"/>
      <x:c r="B61" s="43"/>
      <x:c r="C61" s="43"/>
      <x:c r="D61" s="43"/>
      <x:c r="E61" s="43"/>
      <x:c r="F61" s="43"/>
      <x:c r="G61" s="40"/>
      <x:c r="H61" s="43"/>
      <x:c r="I61" s="81"/>
      <x:c r="J61" s="43"/>
      <x:c r="K61" s="93"/>
      <x:c r="L61" s="96"/>
      <x:c r="M61" s="40"/>
    </x:row>
    <x:row r="62" ht="18" customHeight="1">
      <x:c r="A62" s="43"/>
      <x:c r="B62" s="43"/>
      <x:c r="C62" s="43"/>
      <x:c r="D62" s="43"/>
      <x:c r="E62" s="43"/>
      <x:c r="F62" s="43"/>
      <x:c r="G62" s="40"/>
      <x:c r="H62" s="43"/>
      <x:c r="I62" s="81"/>
      <x:c r="J62" s="43"/>
      <x:c r="K62" s="93"/>
      <x:c r="L62" s="96"/>
      <x:c r="M62" s="40"/>
    </x:row>
    <x:row r="63" ht="18" customHeight="1">
      <x:c r="A63" s="43"/>
      <x:c r="B63" s="43"/>
      <x:c r="C63" s="43"/>
      <x:c r="D63" s="43"/>
      <x:c r="E63" s="43"/>
      <x:c r="F63" s="43"/>
      <x:c r="G63" s="40"/>
      <x:c r="H63" s="43"/>
      <x:c r="I63" s="81"/>
      <x:c r="J63" s="43"/>
      <x:c r="K63" s="93"/>
      <x:c r="L63" s="96"/>
      <x:c r="M63" s="40"/>
    </x:row>
    <x:row r="64" ht="18" customHeight="1">
      <x:c r="A64" s="43"/>
      <x:c r="B64" s="43"/>
      <x:c r="C64" s="43"/>
      <x:c r="D64" s="43"/>
      <x:c r="E64" s="43"/>
      <x:c r="F64" s="43"/>
      <x:c r="G64" s="40"/>
      <x:c r="H64" s="43"/>
      <x:c r="I64" s="81"/>
      <x:c r="J64" s="43"/>
      <x:c r="K64" s="93"/>
      <x:c r="L64" s="96"/>
      <x:c r="M64" s="40"/>
    </x:row>
    <x:row r="65" ht="18" customHeight="1">
      <x:c r="A65" s="43"/>
      <x:c r="B65" s="43"/>
      <x:c r="C65" s="43"/>
      <x:c r="D65" s="43"/>
      <x:c r="E65" s="43"/>
      <x:c r="F65" s="43"/>
      <x:c r="G65" s="40"/>
      <x:c r="H65" s="43"/>
      <x:c r="I65" s="81"/>
      <x:c r="J65" s="43"/>
      <x:c r="K65" s="93"/>
      <x:c r="L65" s="96"/>
      <x:c r="M65" s="40"/>
    </x:row>
    <x:row r="66" ht="18" customHeight="1">
      <x:c r="A66" s="44"/>
      <x:c r="B66" s="44"/>
      <x:c r="C66" s="44"/>
      <x:c r="D66" s="44"/>
      <x:c r="E66" s="44"/>
      <x:c r="F66" s="44"/>
      <x:c r="G66" s="41"/>
      <x:c r="H66" s="44"/>
      <x:c r="I66" s="85"/>
      <x:c r="J66" s="44"/>
      <x:c r="K66" s="94"/>
      <x:c r="L66" s="97"/>
      <x:c r="M66" s="41"/>
    </x:row>
  </x:sheetData>
  <x:mergeCells>
    <x:mergeCell ref="A1:M1"/>
    <x:mergeCell ref="A2:M2"/>
    <x:mergeCell ref="A3:M4"/>
  </x:mergeCells>
  <x:conditionalFormatting sqref="H7:H66">
    <x:cfRule type="containsText" dxfId="22" priority="1" operator="containsText" text="启用"/>
    <x:cfRule type="containsText" dxfId="23" priority="2" operator="containsText" text="已发布"/>
    <x:cfRule type="containsText" dxfId="24" priority="3" operator="containsText" text="草稿"/>
    <x:cfRule type="containsText" dxfId="25" priority="4" operator="containsText" text="停用"/>
  </x:conditionalFormatting>
  <x:conditionalFormatting sqref="A7:A66">
    <x:cfRule type="duplicateValues" dxfId="26" priority="5"/>
  </x:conditionalFormatting>
  <x:dataValidations count="7">
    <x:dataValidation type="list" sqref="B7:B66">
      <x:formula1>'游戏配置'!$A$7:$A$46</x:formula1>
    </x:dataValidation>
    <x:dataValidation type="list" sqref="C7:C66">
      <x:formula1>'国家地区'!$A$7:$A$56</x:formula1>
    </x:dataValidation>
    <x:dataValidation type="list" sqref="D7:D66">
      <x:formula1>"七麦,点点"</x:formula1>
    </x:dataValidation>
    <x:dataValidation type="list" sqref="E7:E66">
      <x:formula1>"iPhone,iPad"</x:formula1>
    </x:dataValidation>
    <x:dataValidation type="list" sqref="F7:F66">
      <x:formula1>"畅销总榜,游戏畅销榜,免费总榜,付费总榜"</x:formula1>
    </x:dataValidation>
    <x:dataValidation type="list" sqref="H7:H66">
      <x:formula1>"启用,停用"</x:formula1>
    </x:dataValidation>
    <x:dataValidation type="whole" operator="between" sqref="I7:I66">
      <x:formula1>30</x:formula1>
      <x:formula2>1440</x:formula2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75" hidden="0" customWidth="1"/>
    <x:col min="2" max="2" width="18.1299991607666" hidden="0" customWidth="1"/>
    <x:col min="3" max="3" width="15" hidden="0" customWidth="1"/>
    <x:col min="4" max="4" width="18.75" hidden="0" customWidth="1"/>
    <x:col min="5" max="5" width="18.1299991607666" hidden="0" customWidth="1"/>
    <x:col min="6" max="6" width="20.6299991607666" hidden="0" customWidth="1"/>
    <x:col min="7" max="7" width="13.130000114440918" hidden="0" customWidth="1"/>
    <x:col min="8" max="8" width="14.380000114440918" hidden="0" customWidth="1"/>
    <x:col min="9" max="9" width="14.380000114440918" hidden="0" customWidth="1"/>
    <x:col min="10" max="10" width="13.130000114440918" hidden="0" customWidth="1"/>
    <x:col min="11" max="11" width="37.5" hidden="0" customWidth="1"/>
  </x:cols>
  <x:sheetData>
    <x:row r="1" ht="28.5" customHeight="1">
      <x:c r="A1" s="3" t="str">
        <x:v>游戏渠道系数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19.5" customHeight="1">
      <x:c r="A2" s="6" t="str">
        <x:v>逐级连续乘：iOS → 移动端 → 全渠道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</x:row>
    <x:row r="3" ht="21" customHeight="1">
      <x:c r="A3" s="21" t="str">
        <x:v>每款监控游戏必须发布自己的系数。country_code 可填 ALL 作为默认，也可填写国家代码覆盖默认值。</x:v>
      </x:c>
      <x:c r="B3" s="22"/>
      <x:c r="C3" s="22"/>
      <x:c r="D3" s="22"/>
      <x:c r="E3" s="22"/>
      <x:c r="F3" s="22"/>
      <x:c r="G3" s="22"/>
      <x:c r="H3" s="22"/>
      <x:c r="I3" s="22"/>
      <x:c r="J3" s="22"/>
      <x:c r="K3" s="23"/>
    </x:row>
    <x:row r="4" ht="21" customHeight="1">
      <x:c r="A4" s="24"/>
      <x:c r="B4" s="25"/>
      <x:c r="C4" s="25"/>
      <x:c r="D4" s="25"/>
      <x:c r="E4" s="25"/>
      <x:c r="F4" s="25"/>
      <x:c r="G4" s="25"/>
      <x:c r="H4" s="25"/>
      <x:c r="I4" s="25"/>
      <x:c r="J4" s="25"/>
      <x:c r="K4" s="26"/>
    </x:row>
    <x:row r="5">
      <x:c r="A5" s="130"/>
      <x:c r="B5" s="130"/>
      <x:c r="C5" s="130"/>
      <x:c r="D5" s="130"/>
      <x:c r="E5" s="130"/>
      <x:c r="F5" s="130"/>
      <x:c r="G5" s="130"/>
      <x:c r="H5" s="130"/>
      <x:c r="I5" s="130"/>
      <x:c r="J5" s="130"/>
      <x:c r="K5" s="130"/>
    </x:row>
    <x:row r="6" ht="43.5" customHeight="1">
      <x:c r="A6" s="31" t="str">
        <x:v>coefficient_id
系数ID *</x:v>
      </x:c>
      <x:c r="B6" s="31" t="str">
        <x:v>game_id
游戏ID *</x:v>
      </x:c>
      <x:c r="C6" s="31" t="str">
        <x:v>country_code
国家代码 *</x:v>
      </x:c>
      <x:c r="D6" s="31" t="str">
        <x:v>chart_type
榜单类型 *</x:v>
      </x:c>
      <x:c r="E6" s="31" t="str">
        <x:v>ios_to_mobile_factor
iOS到移动端系数 *</x:v>
      </x:c>
      <x:c r="F6" s="31" t="str">
        <x:v>mobile_to_all_factor
移动端到全渠道系数 *</x:v>
      </x:c>
      <x:c r="G6" s="31" t="str">
        <x:v>config_version
配置版本 *</x:v>
      </x:c>
      <x:c r="H6" s="31" t="str">
        <x:v>effective_date
生效日期 *</x:v>
      </x:c>
      <x:c r="I6" s="31" t="str">
        <x:v>end_date
失效日期</x:v>
      </x:c>
      <x:c r="J6" s="31" t="str">
        <x:v>publish_status
发布状态 *</x:v>
      </x:c>
      <x:c r="K6" s="31" t="str">
        <x:v>notes
备注</x:v>
      </x:c>
    </x:row>
    <x:row r="7" ht="18" customHeight="1">
      <x:c r="A7" s="42"/>
      <x:c r="B7" s="42"/>
      <x:c r="C7" s="42"/>
      <x:c r="D7" s="42"/>
      <x:c r="E7" s="98"/>
      <x:c r="F7" s="98"/>
      <x:c r="G7" s="42"/>
      <x:c r="H7" s="92"/>
      <x:c r="I7" s="95"/>
      <x:c r="J7" s="42"/>
      <x:c r="K7" s="39"/>
    </x:row>
    <x:row r="8" ht="18" customHeight="1">
      <x:c r="A8" s="43"/>
      <x:c r="B8" s="43"/>
      <x:c r="C8" s="43"/>
      <x:c r="D8" s="43"/>
      <x:c r="E8" s="99"/>
      <x:c r="F8" s="99"/>
      <x:c r="G8" s="43"/>
      <x:c r="H8" s="93"/>
      <x:c r="I8" s="96"/>
      <x:c r="J8" s="43"/>
      <x:c r="K8" s="40"/>
    </x:row>
    <x:row r="9" ht="18" customHeight="1">
      <x:c r="A9" s="43"/>
      <x:c r="B9" s="43"/>
      <x:c r="C9" s="43"/>
      <x:c r="D9" s="43"/>
      <x:c r="E9" s="99"/>
      <x:c r="F9" s="99"/>
      <x:c r="G9" s="43"/>
      <x:c r="H9" s="93"/>
      <x:c r="I9" s="96"/>
      <x:c r="J9" s="43"/>
      <x:c r="K9" s="40"/>
    </x:row>
    <x:row r="10" ht="18" customHeight="1">
      <x:c r="A10" s="43"/>
      <x:c r="B10" s="43"/>
      <x:c r="C10" s="43"/>
      <x:c r="D10" s="43"/>
      <x:c r="E10" s="99"/>
      <x:c r="F10" s="99"/>
      <x:c r="G10" s="43"/>
      <x:c r="H10" s="93"/>
      <x:c r="I10" s="96"/>
      <x:c r="J10" s="43"/>
      <x:c r="K10" s="40"/>
    </x:row>
    <x:row r="11" ht="18" customHeight="1">
      <x:c r="A11" s="43"/>
      <x:c r="B11" s="43"/>
      <x:c r="C11" s="43"/>
      <x:c r="D11" s="43"/>
      <x:c r="E11" s="99"/>
      <x:c r="F11" s="99"/>
      <x:c r="G11" s="43"/>
      <x:c r="H11" s="93"/>
      <x:c r="I11" s="96"/>
      <x:c r="J11" s="43"/>
      <x:c r="K11" s="40"/>
    </x:row>
    <x:row r="12" ht="18" customHeight="1">
      <x:c r="A12" s="43"/>
      <x:c r="B12" s="43"/>
      <x:c r="C12" s="43"/>
      <x:c r="D12" s="43"/>
      <x:c r="E12" s="99"/>
      <x:c r="F12" s="99"/>
      <x:c r="G12" s="43"/>
      <x:c r="H12" s="93"/>
      <x:c r="I12" s="96"/>
      <x:c r="J12" s="43"/>
      <x:c r="K12" s="40"/>
    </x:row>
    <x:row r="13" ht="18" customHeight="1">
      <x:c r="A13" s="43"/>
      <x:c r="B13" s="43"/>
      <x:c r="C13" s="43"/>
      <x:c r="D13" s="43"/>
      <x:c r="E13" s="99"/>
      <x:c r="F13" s="99"/>
      <x:c r="G13" s="43"/>
      <x:c r="H13" s="93"/>
      <x:c r="I13" s="96"/>
      <x:c r="J13" s="43"/>
      <x:c r="K13" s="40"/>
    </x:row>
    <x:row r="14" ht="18" customHeight="1">
      <x:c r="A14" s="43"/>
      <x:c r="B14" s="43"/>
      <x:c r="C14" s="43"/>
      <x:c r="D14" s="43"/>
      <x:c r="E14" s="99"/>
      <x:c r="F14" s="99"/>
      <x:c r="G14" s="43"/>
      <x:c r="H14" s="93"/>
      <x:c r="I14" s="96"/>
      <x:c r="J14" s="43"/>
      <x:c r="K14" s="40"/>
    </x:row>
    <x:row r="15" ht="18" customHeight="1">
      <x:c r="A15" s="43"/>
      <x:c r="B15" s="43"/>
      <x:c r="C15" s="43"/>
      <x:c r="D15" s="43"/>
      <x:c r="E15" s="99"/>
      <x:c r="F15" s="99"/>
      <x:c r="G15" s="43"/>
      <x:c r="H15" s="93"/>
      <x:c r="I15" s="96"/>
      <x:c r="J15" s="43"/>
      <x:c r="K15" s="40"/>
    </x:row>
    <x:row r="16" ht="18" customHeight="1">
      <x:c r="A16" s="43"/>
      <x:c r="B16" s="43"/>
      <x:c r="C16" s="43"/>
      <x:c r="D16" s="43"/>
      <x:c r="E16" s="99"/>
      <x:c r="F16" s="99"/>
      <x:c r="G16" s="43"/>
      <x:c r="H16" s="93"/>
      <x:c r="I16" s="96"/>
      <x:c r="J16" s="43"/>
      <x:c r="K16" s="40"/>
    </x:row>
    <x:row r="17" ht="18" customHeight="1">
      <x:c r="A17" s="43"/>
      <x:c r="B17" s="43"/>
      <x:c r="C17" s="43"/>
      <x:c r="D17" s="43"/>
      <x:c r="E17" s="99"/>
      <x:c r="F17" s="99"/>
      <x:c r="G17" s="43"/>
      <x:c r="H17" s="93"/>
      <x:c r="I17" s="96"/>
      <x:c r="J17" s="43"/>
      <x:c r="K17" s="40"/>
    </x:row>
    <x:row r="18" ht="18" customHeight="1">
      <x:c r="A18" s="43"/>
      <x:c r="B18" s="43"/>
      <x:c r="C18" s="43"/>
      <x:c r="D18" s="43"/>
      <x:c r="E18" s="99"/>
      <x:c r="F18" s="99"/>
      <x:c r="G18" s="43"/>
      <x:c r="H18" s="93"/>
      <x:c r="I18" s="96"/>
      <x:c r="J18" s="43"/>
      <x:c r="K18" s="40"/>
    </x:row>
    <x:row r="19" ht="18" customHeight="1">
      <x:c r="A19" s="43"/>
      <x:c r="B19" s="43"/>
      <x:c r="C19" s="43"/>
      <x:c r="D19" s="43"/>
      <x:c r="E19" s="99"/>
      <x:c r="F19" s="99"/>
      <x:c r="G19" s="43"/>
      <x:c r="H19" s="93"/>
      <x:c r="I19" s="96"/>
      <x:c r="J19" s="43"/>
      <x:c r="K19" s="40"/>
    </x:row>
    <x:row r="20" ht="18" customHeight="1">
      <x:c r="A20" s="43"/>
      <x:c r="B20" s="43"/>
      <x:c r="C20" s="43"/>
      <x:c r="D20" s="43"/>
      <x:c r="E20" s="99"/>
      <x:c r="F20" s="99"/>
      <x:c r="G20" s="43"/>
      <x:c r="H20" s="93"/>
      <x:c r="I20" s="96"/>
      <x:c r="J20" s="43"/>
      <x:c r="K20" s="40"/>
    </x:row>
    <x:row r="21" ht="18" customHeight="1">
      <x:c r="A21" s="43"/>
      <x:c r="B21" s="43"/>
      <x:c r="C21" s="43"/>
      <x:c r="D21" s="43"/>
      <x:c r="E21" s="99"/>
      <x:c r="F21" s="99"/>
      <x:c r="G21" s="43"/>
      <x:c r="H21" s="93"/>
      <x:c r="I21" s="96"/>
      <x:c r="J21" s="43"/>
      <x:c r="K21" s="40"/>
    </x:row>
    <x:row r="22" ht="18" customHeight="1">
      <x:c r="A22" s="43"/>
      <x:c r="B22" s="43"/>
      <x:c r="C22" s="43"/>
      <x:c r="D22" s="43"/>
      <x:c r="E22" s="99"/>
      <x:c r="F22" s="99"/>
      <x:c r="G22" s="43"/>
      <x:c r="H22" s="93"/>
      <x:c r="I22" s="96"/>
      <x:c r="J22" s="43"/>
      <x:c r="K22" s="40"/>
    </x:row>
    <x:row r="23" ht="18" customHeight="1">
      <x:c r="A23" s="43"/>
      <x:c r="B23" s="43"/>
      <x:c r="C23" s="43"/>
      <x:c r="D23" s="43"/>
      <x:c r="E23" s="99"/>
      <x:c r="F23" s="99"/>
      <x:c r="G23" s="43"/>
      <x:c r="H23" s="93"/>
      <x:c r="I23" s="96"/>
      <x:c r="J23" s="43"/>
      <x:c r="K23" s="40"/>
    </x:row>
    <x:row r="24" ht="18" customHeight="1">
      <x:c r="A24" s="43"/>
      <x:c r="B24" s="43"/>
      <x:c r="C24" s="43"/>
      <x:c r="D24" s="43"/>
      <x:c r="E24" s="99"/>
      <x:c r="F24" s="99"/>
      <x:c r="G24" s="43"/>
      <x:c r="H24" s="93"/>
      <x:c r="I24" s="96"/>
      <x:c r="J24" s="43"/>
      <x:c r="K24" s="40"/>
    </x:row>
    <x:row r="25" ht="18" customHeight="1">
      <x:c r="A25" s="43"/>
      <x:c r="B25" s="43"/>
      <x:c r="C25" s="43"/>
      <x:c r="D25" s="43"/>
      <x:c r="E25" s="99"/>
      <x:c r="F25" s="99"/>
      <x:c r="G25" s="43"/>
      <x:c r="H25" s="93"/>
      <x:c r="I25" s="96"/>
      <x:c r="J25" s="43"/>
      <x:c r="K25" s="40"/>
    </x:row>
    <x:row r="26" ht="18" customHeight="1">
      <x:c r="A26" s="43"/>
      <x:c r="B26" s="43"/>
      <x:c r="C26" s="43"/>
      <x:c r="D26" s="43"/>
      <x:c r="E26" s="99"/>
      <x:c r="F26" s="99"/>
      <x:c r="G26" s="43"/>
      <x:c r="H26" s="93"/>
      <x:c r="I26" s="96"/>
      <x:c r="J26" s="43"/>
      <x:c r="K26" s="40"/>
    </x:row>
    <x:row r="27" ht="18" customHeight="1">
      <x:c r="A27" s="43"/>
      <x:c r="B27" s="43"/>
      <x:c r="C27" s="43"/>
      <x:c r="D27" s="43"/>
      <x:c r="E27" s="99"/>
      <x:c r="F27" s="99"/>
      <x:c r="G27" s="43"/>
      <x:c r="H27" s="93"/>
      <x:c r="I27" s="96"/>
      <x:c r="J27" s="43"/>
      <x:c r="K27" s="40"/>
    </x:row>
    <x:row r="28" ht="18" customHeight="1">
      <x:c r="A28" s="43"/>
      <x:c r="B28" s="43"/>
      <x:c r="C28" s="43"/>
      <x:c r="D28" s="43"/>
      <x:c r="E28" s="99"/>
      <x:c r="F28" s="99"/>
      <x:c r="G28" s="43"/>
      <x:c r="H28" s="93"/>
      <x:c r="I28" s="96"/>
      <x:c r="J28" s="43"/>
      <x:c r="K28" s="40"/>
    </x:row>
    <x:row r="29" ht="18" customHeight="1">
      <x:c r="A29" s="43"/>
      <x:c r="B29" s="43"/>
      <x:c r="C29" s="43"/>
      <x:c r="D29" s="43"/>
      <x:c r="E29" s="99"/>
      <x:c r="F29" s="99"/>
      <x:c r="G29" s="43"/>
      <x:c r="H29" s="93"/>
      <x:c r="I29" s="96"/>
      <x:c r="J29" s="43"/>
      <x:c r="K29" s="40"/>
    </x:row>
    <x:row r="30" ht="18" customHeight="1">
      <x:c r="A30" s="43"/>
      <x:c r="B30" s="43"/>
      <x:c r="C30" s="43"/>
      <x:c r="D30" s="43"/>
      <x:c r="E30" s="99"/>
      <x:c r="F30" s="99"/>
      <x:c r="G30" s="43"/>
      <x:c r="H30" s="93"/>
      <x:c r="I30" s="96"/>
      <x:c r="J30" s="43"/>
      <x:c r="K30" s="40"/>
    </x:row>
    <x:row r="31" ht="18" customHeight="1">
      <x:c r="A31" s="43"/>
      <x:c r="B31" s="43"/>
      <x:c r="C31" s="43"/>
      <x:c r="D31" s="43"/>
      <x:c r="E31" s="99"/>
      <x:c r="F31" s="99"/>
      <x:c r="G31" s="43"/>
      <x:c r="H31" s="93"/>
      <x:c r="I31" s="96"/>
      <x:c r="J31" s="43"/>
      <x:c r="K31" s="40"/>
    </x:row>
    <x:row r="32" ht="18" customHeight="1">
      <x:c r="A32" s="43"/>
      <x:c r="B32" s="43"/>
      <x:c r="C32" s="43"/>
      <x:c r="D32" s="43"/>
      <x:c r="E32" s="99"/>
      <x:c r="F32" s="99"/>
      <x:c r="G32" s="43"/>
      <x:c r="H32" s="93"/>
      <x:c r="I32" s="96"/>
      <x:c r="J32" s="43"/>
      <x:c r="K32" s="40"/>
    </x:row>
    <x:row r="33" ht="18" customHeight="1">
      <x:c r="A33" s="43"/>
      <x:c r="B33" s="43"/>
      <x:c r="C33" s="43"/>
      <x:c r="D33" s="43"/>
      <x:c r="E33" s="99"/>
      <x:c r="F33" s="99"/>
      <x:c r="G33" s="43"/>
      <x:c r="H33" s="93"/>
      <x:c r="I33" s="96"/>
      <x:c r="J33" s="43"/>
      <x:c r="K33" s="40"/>
    </x:row>
    <x:row r="34" ht="18" customHeight="1">
      <x:c r="A34" s="43"/>
      <x:c r="B34" s="43"/>
      <x:c r="C34" s="43"/>
      <x:c r="D34" s="43"/>
      <x:c r="E34" s="99"/>
      <x:c r="F34" s="99"/>
      <x:c r="G34" s="43"/>
      <x:c r="H34" s="93"/>
      <x:c r="I34" s="96"/>
      <x:c r="J34" s="43"/>
      <x:c r="K34" s="40"/>
    </x:row>
    <x:row r="35" ht="18" customHeight="1">
      <x:c r="A35" s="43"/>
      <x:c r="B35" s="43"/>
      <x:c r="C35" s="43"/>
      <x:c r="D35" s="43"/>
      <x:c r="E35" s="99"/>
      <x:c r="F35" s="99"/>
      <x:c r="G35" s="43"/>
      <x:c r="H35" s="93"/>
      <x:c r="I35" s="96"/>
      <x:c r="J35" s="43"/>
      <x:c r="K35" s="40"/>
    </x:row>
    <x:row r="36" ht="18" customHeight="1">
      <x:c r="A36" s="43"/>
      <x:c r="B36" s="43"/>
      <x:c r="C36" s="43"/>
      <x:c r="D36" s="43"/>
      <x:c r="E36" s="99"/>
      <x:c r="F36" s="99"/>
      <x:c r="G36" s="43"/>
      <x:c r="H36" s="93"/>
      <x:c r="I36" s="96"/>
      <x:c r="J36" s="43"/>
      <x:c r="K36" s="40"/>
    </x:row>
    <x:row r="37" ht="18" customHeight="1">
      <x:c r="A37" s="43"/>
      <x:c r="B37" s="43"/>
      <x:c r="C37" s="43"/>
      <x:c r="D37" s="43"/>
      <x:c r="E37" s="99"/>
      <x:c r="F37" s="99"/>
      <x:c r="G37" s="43"/>
      <x:c r="H37" s="93"/>
      <x:c r="I37" s="96"/>
      <x:c r="J37" s="43"/>
      <x:c r="K37" s="40"/>
    </x:row>
    <x:row r="38" ht="18" customHeight="1">
      <x:c r="A38" s="43"/>
      <x:c r="B38" s="43"/>
      <x:c r="C38" s="43"/>
      <x:c r="D38" s="43"/>
      <x:c r="E38" s="99"/>
      <x:c r="F38" s="99"/>
      <x:c r="G38" s="43"/>
      <x:c r="H38" s="93"/>
      <x:c r="I38" s="96"/>
      <x:c r="J38" s="43"/>
      <x:c r="K38" s="40"/>
    </x:row>
    <x:row r="39" ht="18" customHeight="1">
      <x:c r="A39" s="43"/>
      <x:c r="B39" s="43"/>
      <x:c r="C39" s="43"/>
      <x:c r="D39" s="43"/>
      <x:c r="E39" s="99"/>
      <x:c r="F39" s="99"/>
      <x:c r="G39" s="43"/>
      <x:c r="H39" s="93"/>
      <x:c r="I39" s="96"/>
      <x:c r="J39" s="43"/>
      <x:c r="K39" s="40"/>
    </x:row>
    <x:row r="40" ht="18" customHeight="1">
      <x:c r="A40" s="43"/>
      <x:c r="B40" s="43"/>
      <x:c r="C40" s="43"/>
      <x:c r="D40" s="43"/>
      <x:c r="E40" s="99"/>
      <x:c r="F40" s="99"/>
      <x:c r="G40" s="43"/>
      <x:c r="H40" s="93"/>
      <x:c r="I40" s="96"/>
      <x:c r="J40" s="43"/>
      <x:c r="K40" s="40"/>
    </x:row>
    <x:row r="41" ht="18" customHeight="1">
      <x:c r="A41" s="43"/>
      <x:c r="B41" s="43"/>
      <x:c r="C41" s="43"/>
      <x:c r="D41" s="43"/>
      <x:c r="E41" s="99"/>
      <x:c r="F41" s="99"/>
      <x:c r="G41" s="43"/>
      <x:c r="H41" s="93"/>
      <x:c r="I41" s="96"/>
      <x:c r="J41" s="43"/>
      <x:c r="K41" s="40"/>
    </x:row>
    <x:row r="42" ht="18" customHeight="1">
      <x:c r="A42" s="43"/>
      <x:c r="B42" s="43"/>
      <x:c r="C42" s="43"/>
      <x:c r="D42" s="43"/>
      <x:c r="E42" s="99"/>
      <x:c r="F42" s="99"/>
      <x:c r="G42" s="43"/>
      <x:c r="H42" s="93"/>
      <x:c r="I42" s="96"/>
      <x:c r="J42" s="43"/>
      <x:c r="K42" s="40"/>
    </x:row>
    <x:row r="43" ht="18" customHeight="1">
      <x:c r="A43" s="43"/>
      <x:c r="B43" s="43"/>
      <x:c r="C43" s="43"/>
      <x:c r="D43" s="43"/>
      <x:c r="E43" s="99"/>
      <x:c r="F43" s="99"/>
      <x:c r="G43" s="43"/>
      <x:c r="H43" s="93"/>
      <x:c r="I43" s="96"/>
      <x:c r="J43" s="43"/>
      <x:c r="K43" s="40"/>
    </x:row>
    <x:row r="44" ht="18" customHeight="1">
      <x:c r="A44" s="43"/>
      <x:c r="B44" s="43"/>
      <x:c r="C44" s="43"/>
      <x:c r="D44" s="43"/>
      <x:c r="E44" s="99"/>
      <x:c r="F44" s="99"/>
      <x:c r="G44" s="43"/>
      <x:c r="H44" s="93"/>
      <x:c r="I44" s="96"/>
      <x:c r="J44" s="43"/>
      <x:c r="K44" s="40"/>
    </x:row>
    <x:row r="45" ht="18" customHeight="1">
      <x:c r="A45" s="43"/>
      <x:c r="B45" s="43"/>
      <x:c r="C45" s="43"/>
      <x:c r="D45" s="43"/>
      <x:c r="E45" s="99"/>
      <x:c r="F45" s="99"/>
      <x:c r="G45" s="43"/>
      <x:c r="H45" s="93"/>
      <x:c r="I45" s="96"/>
      <x:c r="J45" s="43"/>
      <x:c r="K45" s="40"/>
    </x:row>
    <x:row r="46" ht="18" customHeight="1">
      <x:c r="A46" s="43"/>
      <x:c r="B46" s="43"/>
      <x:c r="C46" s="43"/>
      <x:c r="D46" s="43"/>
      <x:c r="E46" s="99"/>
      <x:c r="F46" s="99"/>
      <x:c r="G46" s="43"/>
      <x:c r="H46" s="93"/>
      <x:c r="I46" s="96"/>
      <x:c r="J46" s="43"/>
      <x:c r="K46" s="40"/>
    </x:row>
    <x:row r="47" ht="18" customHeight="1">
      <x:c r="A47" s="43"/>
      <x:c r="B47" s="43"/>
      <x:c r="C47" s="43"/>
      <x:c r="D47" s="43"/>
      <x:c r="E47" s="99"/>
      <x:c r="F47" s="99"/>
      <x:c r="G47" s="43"/>
      <x:c r="H47" s="93"/>
      <x:c r="I47" s="96"/>
      <x:c r="J47" s="43"/>
      <x:c r="K47" s="40"/>
    </x:row>
    <x:row r="48" ht="18" customHeight="1">
      <x:c r="A48" s="43"/>
      <x:c r="B48" s="43"/>
      <x:c r="C48" s="43"/>
      <x:c r="D48" s="43"/>
      <x:c r="E48" s="99"/>
      <x:c r="F48" s="99"/>
      <x:c r="G48" s="43"/>
      <x:c r="H48" s="93"/>
      <x:c r="I48" s="96"/>
      <x:c r="J48" s="43"/>
      <x:c r="K48" s="40"/>
    </x:row>
    <x:row r="49" ht="18" customHeight="1">
      <x:c r="A49" s="43"/>
      <x:c r="B49" s="43"/>
      <x:c r="C49" s="43"/>
      <x:c r="D49" s="43"/>
      <x:c r="E49" s="99"/>
      <x:c r="F49" s="99"/>
      <x:c r="G49" s="43"/>
      <x:c r="H49" s="93"/>
      <x:c r="I49" s="96"/>
      <x:c r="J49" s="43"/>
      <x:c r="K49" s="40"/>
    </x:row>
    <x:row r="50" ht="18" customHeight="1">
      <x:c r="A50" s="43"/>
      <x:c r="B50" s="43"/>
      <x:c r="C50" s="43"/>
      <x:c r="D50" s="43"/>
      <x:c r="E50" s="99"/>
      <x:c r="F50" s="99"/>
      <x:c r="G50" s="43"/>
      <x:c r="H50" s="93"/>
      <x:c r="I50" s="96"/>
      <x:c r="J50" s="43"/>
      <x:c r="K50" s="40"/>
    </x:row>
    <x:row r="51" ht="18" customHeight="1">
      <x:c r="A51" s="43"/>
      <x:c r="B51" s="43"/>
      <x:c r="C51" s="43"/>
      <x:c r="D51" s="43"/>
      <x:c r="E51" s="99"/>
      <x:c r="F51" s="99"/>
      <x:c r="G51" s="43"/>
      <x:c r="H51" s="93"/>
      <x:c r="I51" s="96"/>
      <x:c r="J51" s="43"/>
      <x:c r="K51" s="40"/>
    </x:row>
    <x:row r="52" ht="18" customHeight="1">
      <x:c r="A52" s="43"/>
      <x:c r="B52" s="43"/>
      <x:c r="C52" s="43"/>
      <x:c r="D52" s="43"/>
      <x:c r="E52" s="99"/>
      <x:c r="F52" s="99"/>
      <x:c r="G52" s="43"/>
      <x:c r="H52" s="93"/>
      <x:c r="I52" s="96"/>
      <x:c r="J52" s="43"/>
      <x:c r="K52" s="40"/>
    </x:row>
    <x:row r="53" ht="18" customHeight="1">
      <x:c r="A53" s="43"/>
      <x:c r="B53" s="43"/>
      <x:c r="C53" s="43"/>
      <x:c r="D53" s="43"/>
      <x:c r="E53" s="99"/>
      <x:c r="F53" s="99"/>
      <x:c r="G53" s="43"/>
      <x:c r="H53" s="93"/>
      <x:c r="I53" s="96"/>
      <x:c r="J53" s="43"/>
      <x:c r="K53" s="40"/>
    </x:row>
    <x:row r="54" ht="18" customHeight="1">
      <x:c r="A54" s="43"/>
      <x:c r="B54" s="43"/>
      <x:c r="C54" s="43"/>
      <x:c r="D54" s="43"/>
      <x:c r="E54" s="99"/>
      <x:c r="F54" s="99"/>
      <x:c r="G54" s="43"/>
      <x:c r="H54" s="93"/>
      <x:c r="I54" s="96"/>
      <x:c r="J54" s="43"/>
      <x:c r="K54" s="40"/>
    </x:row>
    <x:row r="55" ht="18" customHeight="1">
      <x:c r="A55" s="43"/>
      <x:c r="B55" s="43"/>
      <x:c r="C55" s="43"/>
      <x:c r="D55" s="43"/>
      <x:c r="E55" s="99"/>
      <x:c r="F55" s="99"/>
      <x:c r="G55" s="43"/>
      <x:c r="H55" s="93"/>
      <x:c r="I55" s="96"/>
      <x:c r="J55" s="43"/>
      <x:c r="K55" s="40"/>
    </x:row>
    <x:row r="56" ht="18" customHeight="1">
      <x:c r="A56" s="44"/>
      <x:c r="B56" s="44"/>
      <x:c r="C56" s="44"/>
      <x:c r="D56" s="44"/>
      <x:c r="E56" s="100"/>
      <x:c r="F56" s="100"/>
      <x:c r="G56" s="44"/>
      <x:c r="H56" s="94"/>
      <x:c r="I56" s="97"/>
      <x:c r="J56" s="44"/>
      <x:c r="K56" s="41"/>
    </x:row>
  </x:sheetData>
  <x:mergeCells>
    <x:mergeCell ref="A1:K1"/>
    <x:mergeCell ref="A2:K2"/>
    <x:mergeCell ref="A3:K4"/>
  </x:mergeCells>
  <x:conditionalFormatting sqref="J7:J56">
    <x:cfRule type="containsText" dxfId="27" priority="1" operator="containsText" text="启用"/>
    <x:cfRule type="containsText" dxfId="28" priority="2" operator="containsText" text="已发布"/>
    <x:cfRule type="containsText" dxfId="29" priority="3" operator="containsText" text="草稿"/>
    <x:cfRule type="containsText" dxfId="30" priority="4" operator="containsText" text="停用"/>
  </x:conditionalFormatting>
  <x:conditionalFormatting sqref="A7:A56">
    <x:cfRule type="duplicateValues" dxfId="31" priority="5"/>
  </x:conditionalFormatting>
  <x:dataValidations count="4">
    <x:dataValidation type="list" sqref="B7:B56">
      <x:formula1>'游戏配置'!$A$7:$A$46</x:formula1>
    </x:dataValidation>
    <x:dataValidation type="list" sqref="D7:D56">
      <x:formula1>"畅销总榜,游戏畅销榜,免费总榜,付费总榜"</x:formula1>
    </x:dataValidation>
    <x:dataValidation type="decimal" operator="between" sqref="E7:F56">
      <x:formula1>1</x:formula1>
      <x:formula2>1000</x:formula2>
    </x:dataValidation>
    <x:dataValidation type="list" sqref="J7:J56">
      <x:formula1>"草稿,已发布,停用"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75" hidden="0" customWidth="1"/>
    <x:col min="2" max="2" width="18.1299991607666" hidden="0" customWidth="1"/>
    <x:col min="3" max="3" width="15" hidden="0" customWidth="1"/>
    <x:col min="4" max="4" width="18.1299991607666" hidden="0" customWidth="1"/>
    <x:col min="5" max="5" width="17.5" hidden="0" customWidth="1"/>
    <x:col min="6" max="6" width="18.75" hidden="0" customWidth="1"/>
    <x:col min="7" max="7" width="13.130000114440918" hidden="0" customWidth="1"/>
    <x:col min="8" max="8" width="14.380000114440918" hidden="0" customWidth="1"/>
    <x:col min="9" max="9" width="14.380000114440918" hidden="0" customWidth="1"/>
    <x:col min="10" max="10" width="13.130000114440918" hidden="0" customWidth="1"/>
    <x:col min="11" max="11" width="37.5" hidden="0" customWidth="1"/>
  </x:cols>
  <x:sheetData>
    <x:row r="1" ht="28.5" customHeight="1">
      <x:c r="A1" s="3" t="str">
        <x:v>渠道分成比例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19.5" customHeight="1">
      <x:c r="A2" s="6" t="str">
        <x:v>iOS、其他移动端、其他渠道分别扣除分成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</x:row>
    <x:row r="3" ht="21" customHeight="1">
      <x:c r="A3" s="21" t="str">
        <x:v>platform_share_rate 为渠道取得的比例；developer_retention_rate 自动计算。country_code 可填 ALL 或具体国家。</x:v>
      </x:c>
      <x:c r="B3" s="22"/>
      <x:c r="C3" s="22"/>
      <x:c r="D3" s="22"/>
      <x:c r="E3" s="22"/>
      <x:c r="F3" s="22"/>
      <x:c r="G3" s="22"/>
      <x:c r="H3" s="22"/>
      <x:c r="I3" s="22"/>
      <x:c r="J3" s="22"/>
      <x:c r="K3" s="23"/>
    </x:row>
    <x:row r="4" ht="21" customHeight="1">
      <x:c r="A4" s="24"/>
      <x:c r="B4" s="25"/>
      <x:c r="C4" s="25"/>
      <x:c r="D4" s="25"/>
      <x:c r="E4" s="25"/>
      <x:c r="F4" s="25"/>
      <x:c r="G4" s="25"/>
      <x:c r="H4" s="25"/>
      <x:c r="I4" s="25"/>
      <x:c r="J4" s="25"/>
      <x:c r="K4" s="26"/>
    </x:row>
    <x:row r="5">
      <x:c r="A5" s="130"/>
      <x:c r="B5" s="130"/>
      <x:c r="C5" s="130"/>
      <x:c r="D5" s="130"/>
      <x:c r="E5" s="130"/>
      <x:c r="F5" s="130"/>
      <x:c r="G5" s="130"/>
      <x:c r="H5" s="130"/>
      <x:c r="I5" s="130"/>
      <x:c r="J5" s="130"/>
      <x:c r="K5" s="130"/>
    </x:row>
    <x:row r="6" ht="43.5" customHeight="1">
      <x:c r="A6" s="31" t="str">
        <x:v>share_id
分成ID *</x:v>
      </x:c>
      <x:c r="B6" s="31" t="str">
        <x:v>game_id
游戏ID *</x:v>
      </x:c>
      <x:c r="C6" s="31" t="str">
        <x:v>country_code
国家代码 *</x:v>
      </x:c>
      <x:c r="D6" s="31" t="str">
        <x:v>channel
渠道 *</x:v>
      </x:c>
      <x:c r="E6" s="31" t="str">
        <x:v>platform_share_rate
渠道分成比例 *</x:v>
      </x:c>
      <x:c r="F6" s="31" t="str">
        <x:v>developer_retention_rate
开发者留存比例</x:v>
      </x:c>
      <x:c r="G6" s="31" t="str">
        <x:v>config_version
配置版本 *</x:v>
      </x:c>
      <x:c r="H6" s="31" t="str">
        <x:v>effective_date
生效日期 *</x:v>
      </x:c>
      <x:c r="I6" s="31" t="str">
        <x:v>end_date
失效日期</x:v>
      </x:c>
      <x:c r="J6" s="31" t="str">
        <x:v>publish_status
发布状态 *</x:v>
      </x:c>
      <x:c r="K6" s="31" t="str">
        <x:v>notes
备注</x:v>
      </x:c>
    </x:row>
    <x:row r="7" ht="18" customHeight="1">
      <x:c r="A7" s="42"/>
      <x:c r="B7" s="42"/>
      <x:c r="C7" s="42"/>
      <x:c r="D7" s="42"/>
      <x:c r="E7" s="101"/>
      <x:c r="F7" s="102" t="str">
        <x:f>IF(E7="","",1-E7)</x:f>
      </x:c>
      <x:c r="G7" s="42"/>
      <x:c r="H7" s="92"/>
      <x:c r="I7" s="95"/>
      <x:c r="J7" s="42"/>
      <x:c r="K7" s="39"/>
    </x:row>
    <x:row r="8" ht="18" customHeight="1">
      <x:c r="A8" s="43"/>
      <x:c r="B8" s="43"/>
      <x:c r="C8" s="43"/>
      <x:c r="D8" s="43"/>
      <x:c r="E8" s="80"/>
      <x:c r="F8" s="103" t="str">
        <x:f>IF(E8="","",1-E8)</x:f>
      </x:c>
      <x:c r="G8" s="43"/>
      <x:c r="H8" s="93"/>
      <x:c r="I8" s="96"/>
      <x:c r="J8" s="43"/>
      <x:c r="K8" s="40"/>
    </x:row>
    <x:row r="9" ht="18" customHeight="1">
      <x:c r="A9" s="43"/>
      <x:c r="B9" s="43"/>
      <x:c r="C9" s="43"/>
      <x:c r="D9" s="43"/>
      <x:c r="E9" s="80"/>
      <x:c r="F9" s="103" t="str">
        <x:f>IF(E9="","",1-E9)</x:f>
      </x:c>
      <x:c r="G9" s="43"/>
      <x:c r="H9" s="93"/>
      <x:c r="I9" s="96"/>
      <x:c r="J9" s="43"/>
      <x:c r="K9" s="40"/>
    </x:row>
    <x:row r="10" ht="18" customHeight="1">
      <x:c r="A10" s="43"/>
      <x:c r="B10" s="43"/>
      <x:c r="C10" s="43"/>
      <x:c r="D10" s="43"/>
      <x:c r="E10" s="80"/>
      <x:c r="F10" s="103" t="str">
        <x:f>IF(E10="","",1-E10)</x:f>
      </x:c>
      <x:c r="G10" s="43"/>
      <x:c r="H10" s="93"/>
      <x:c r="I10" s="96"/>
      <x:c r="J10" s="43"/>
      <x:c r="K10" s="40"/>
    </x:row>
    <x:row r="11" ht="18" customHeight="1">
      <x:c r="A11" s="43"/>
      <x:c r="B11" s="43"/>
      <x:c r="C11" s="43"/>
      <x:c r="D11" s="43"/>
      <x:c r="E11" s="80"/>
      <x:c r="F11" s="103" t="str">
        <x:f>IF(E11="","",1-E11)</x:f>
      </x:c>
      <x:c r="G11" s="43"/>
      <x:c r="H11" s="93"/>
      <x:c r="I11" s="96"/>
      <x:c r="J11" s="43"/>
      <x:c r="K11" s="40"/>
    </x:row>
    <x:row r="12" ht="18" customHeight="1">
      <x:c r="A12" s="43"/>
      <x:c r="B12" s="43"/>
      <x:c r="C12" s="43"/>
      <x:c r="D12" s="43"/>
      <x:c r="E12" s="80"/>
      <x:c r="F12" s="103" t="str">
        <x:f>IF(E12="","",1-E12)</x:f>
      </x:c>
      <x:c r="G12" s="43"/>
      <x:c r="H12" s="93"/>
      <x:c r="I12" s="96"/>
      <x:c r="J12" s="43"/>
      <x:c r="K12" s="40"/>
    </x:row>
    <x:row r="13" ht="18" customHeight="1">
      <x:c r="A13" s="43"/>
      <x:c r="B13" s="43"/>
      <x:c r="C13" s="43"/>
      <x:c r="D13" s="43"/>
      <x:c r="E13" s="80"/>
      <x:c r="F13" s="103" t="str">
        <x:f>IF(E13="","",1-E13)</x:f>
      </x:c>
      <x:c r="G13" s="43"/>
      <x:c r="H13" s="93"/>
      <x:c r="I13" s="96"/>
      <x:c r="J13" s="43"/>
      <x:c r="K13" s="40"/>
    </x:row>
    <x:row r="14" ht="18" customHeight="1">
      <x:c r="A14" s="43"/>
      <x:c r="B14" s="43"/>
      <x:c r="C14" s="43"/>
      <x:c r="D14" s="43"/>
      <x:c r="E14" s="80"/>
      <x:c r="F14" s="103" t="str">
        <x:f>IF(E14="","",1-E14)</x:f>
      </x:c>
      <x:c r="G14" s="43"/>
      <x:c r="H14" s="93"/>
      <x:c r="I14" s="96"/>
      <x:c r="J14" s="43"/>
      <x:c r="K14" s="40"/>
    </x:row>
    <x:row r="15" ht="18" customHeight="1">
      <x:c r="A15" s="43"/>
      <x:c r="B15" s="43"/>
      <x:c r="C15" s="43"/>
      <x:c r="D15" s="43"/>
      <x:c r="E15" s="80"/>
      <x:c r="F15" s="103" t="str">
        <x:f>IF(E15="","",1-E15)</x:f>
      </x:c>
      <x:c r="G15" s="43"/>
      <x:c r="H15" s="93"/>
      <x:c r="I15" s="96"/>
      <x:c r="J15" s="43"/>
      <x:c r="K15" s="40"/>
    </x:row>
    <x:row r="16" ht="18" customHeight="1">
      <x:c r="A16" s="43"/>
      <x:c r="B16" s="43"/>
      <x:c r="C16" s="43"/>
      <x:c r="D16" s="43"/>
      <x:c r="E16" s="80"/>
      <x:c r="F16" s="103" t="str">
        <x:f>IF(E16="","",1-E16)</x:f>
      </x:c>
      <x:c r="G16" s="43"/>
      <x:c r="H16" s="93"/>
      <x:c r="I16" s="96"/>
      <x:c r="J16" s="43"/>
      <x:c r="K16" s="40"/>
    </x:row>
    <x:row r="17" ht="18" customHeight="1">
      <x:c r="A17" s="43"/>
      <x:c r="B17" s="43"/>
      <x:c r="C17" s="43"/>
      <x:c r="D17" s="43"/>
      <x:c r="E17" s="80"/>
      <x:c r="F17" s="103" t="str">
        <x:f>IF(E17="","",1-E17)</x:f>
      </x:c>
      <x:c r="G17" s="43"/>
      <x:c r="H17" s="93"/>
      <x:c r="I17" s="96"/>
      <x:c r="J17" s="43"/>
      <x:c r="K17" s="40"/>
    </x:row>
    <x:row r="18" ht="18" customHeight="1">
      <x:c r="A18" s="43"/>
      <x:c r="B18" s="43"/>
      <x:c r="C18" s="43"/>
      <x:c r="D18" s="43"/>
      <x:c r="E18" s="80"/>
      <x:c r="F18" s="103" t="str">
        <x:f>IF(E18="","",1-E18)</x:f>
      </x:c>
      <x:c r="G18" s="43"/>
      <x:c r="H18" s="93"/>
      <x:c r="I18" s="96"/>
      <x:c r="J18" s="43"/>
      <x:c r="K18" s="40"/>
    </x:row>
    <x:row r="19" ht="18" customHeight="1">
      <x:c r="A19" s="43"/>
      <x:c r="B19" s="43"/>
      <x:c r="C19" s="43"/>
      <x:c r="D19" s="43"/>
      <x:c r="E19" s="80"/>
      <x:c r="F19" s="103" t="str">
        <x:f>IF(E19="","",1-E19)</x:f>
      </x:c>
      <x:c r="G19" s="43"/>
      <x:c r="H19" s="93"/>
      <x:c r="I19" s="96"/>
      <x:c r="J19" s="43"/>
      <x:c r="K19" s="40"/>
    </x:row>
    <x:row r="20" ht="18" customHeight="1">
      <x:c r="A20" s="43"/>
      <x:c r="B20" s="43"/>
      <x:c r="C20" s="43"/>
      <x:c r="D20" s="43"/>
      <x:c r="E20" s="80"/>
      <x:c r="F20" s="103" t="str">
        <x:f>IF(E20="","",1-E20)</x:f>
      </x:c>
      <x:c r="G20" s="43"/>
      <x:c r="H20" s="93"/>
      <x:c r="I20" s="96"/>
      <x:c r="J20" s="43"/>
      <x:c r="K20" s="40"/>
    </x:row>
    <x:row r="21" ht="18" customHeight="1">
      <x:c r="A21" s="43"/>
      <x:c r="B21" s="43"/>
      <x:c r="C21" s="43"/>
      <x:c r="D21" s="43"/>
      <x:c r="E21" s="80"/>
      <x:c r="F21" s="103" t="str">
        <x:f>IF(E21="","",1-E21)</x:f>
      </x:c>
      <x:c r="G21" s="43"/>
      <x:c r="H21" s="93"/>
      <x:c r="I21" s="96"/>
      <x:c r="J21" s="43"/>
      <x:c r="K21" s="40"/>
    </x:row>
    <x:row r="22" ht="18" customHeight="1">
      <x:c r="A22" s="43"/>
      <x:c r="B22" s="43"/>
      <x:c r="C22" s="43"/>
      <x:c r="D22" s="43"/>
      <x:c r="E22" s="80"/>
      <x:c r="F22" s="103" t="str">
        <x:f>IF(E22="","",1-E22)</x:f>
      </x:c>
      <x:c r="G22" s="43"/>
      <x:c r="H22" s="93"/>
      <x:c r="I22" s="96"/>
      <x:c r="J22" s="43"/>
      <x:c r="K22" s="40"/>
    </x:row>
    <x:row r="23" ht="18" customHeight="1">
      <x:c r="A23" s="43"/>
      <x:c r="B23" s="43"/>
      <x:c r="C23" s="43"/>
      <x:c r="D23" s="43"/>
      <x:c r="E23" s="80"/>
      <x:c r="F23" s="103" t="str">
        <x:f>IF(E23="","",1-E23)</x:f>
      </x:c>
      <x:c r="G23" s="43"/>
      <x:c r="H23" s="93"/>
      <x:c r="I23" s="96"/>
      <x:c r="J23" s="43"/>
      <x:c r="K23" s="40"/>
    </x:row>
    <x:row r="24" ht="18" customHeight="1">
      <x:c r="A24" s="43"/>
      <x:c r="B24" s="43"/>
      <x:c r="C24" s="43"/>
      <x:c r="D24" s="43"/>
      <x:c r="E24" s="80"/>
      <x:c r="F24" s="103" t="str">
        <x:f>IF(E24="","",1-E24)</x:f>
      </x:c>
      <x:c r="G24" s="43"/>
      <x:c r="H24" s="93"/>
      <x:c r="I24" s="96"/>
      <x:c r="J24" s="43"/>
      <x:c r="K24" s="40"/>
    </x:row>
    <x:row r="25" ht="18" customHeight="1">
      <x:c r="A25" s="43"/>
      <x:c r="B25" s="43"/>
      <x:c r="C25" s="43"/>
      <x:c r="D25" s="43"/>
      <x:c r="E25" s="80"/>
      <x:c r="F25" s="103" t="str">
        <x:f>IF(E25="","",1-E25)</x:f>
      </x:c>
      <x:c r="G25" s="43"/>
      <x:c r="H25" s="93"/>
      <x:c r="I25" s="96"/>
      <x:c r="J25" s="43"/>
      <x:c r="K25" s="40"/>
    </x:row>
    <x:row r="26" ht="18" customHeight="1">
      <x:c r="A26" s="43"/>
      <x:c r="B26" s="43"/>
      <x:c r="C26" s="43"/>
      <x:c r="D26" s="43"/>
      <x:c r="E26" s="80"/>
      <x:c r="F26" s="103" t="str">
        <x:f>IF(E26="","",1-E26)</x:f>
      </x:c>
      <x:c r="G26" s="43"/>
      <x:c r="H26" s="93"/>
      <x:c r="I26" s="96"/>
      <x:c r="J26" s="43"/>
      <x:c r="K26" s="40"/>
    </x:row>
    <x:row r="27" ht="18" customHeight="1">
      <x:c r="A27" s="43"/>
      <x:c r="B27" s="43"/>
      <x:c r="C27" s="43"/>
      <x:c r="D27" s="43"/>
      <x:c r="E27" s="80"/>
      <x:c r="F27" s="103" t="str">
        <x:f>IF(E27="","",1-E27)</x:f>
      </x:c>
      <x:c r="G27" s="43"/>
      <x:c r="H27" s="93"/>
      <x:c r="I27" s="96"/>
      <x:c r="J27" s="43"/>
      <x:c r="K27" s="40"/>
    </x:row>
    <x:row r="28" ht="18" customHeight="1">
      <x:c r="A28" s="43"/>
      <x:c r="B28" s="43"/>
      <x:c r="C28" s="43"/>
      <x:c r="D28" s="43"/>
      <x:c r="E28" s="80"/>
      <x:c r="F28" s="103" t="str">
        <x:f>IF(E28="","",1-E28)</x:f>
      </x:c>
      <x:c r="G28" s="43"/>
      <x:c r="H28" s="93"/>
      <x:c r="I28" s="96"/>
      <x:c r="J28" s="43"/>
      <x:c r="K28" s="40"/>
    </x:row>
    <x:row r="29" ht="18" customHeight="1">
      <x:c r="A29" s="43"/>
      <x:c r="B29" s="43"/>
      <x:c r="C29" s="43"/>
      <x:c r="D29" s="43"/>
      <x:c r="E29" s="80"/>
      <x:c r="F29" s="103" t="str">
        <x:f>IF(E29="","",1-E29)</x:f>
      </x:c>
      <x:c r="G29" s="43"/>
      <x:c r="H29" s="93"/>
      <x:c r="I29" s="96"/>
      <x:c r="J29" s="43"/>
      <x:c r="K29" s="40"/>
    </x:row>
    <x:row r="30" ht="18" customHeight="1">
      <x:c r="A30" s="43"/>
      <x:c r="B30" s="43"/>
      <x:c r="C30" s="43"/>
      <x:c r="D30" s="43"/>
      <x:c r="E30" s="80"/>
      <x:c r="F30" s="103" t="str">
        <x:f>IF(E30="","",1-E30)</x:f>
      </x:c>
      <x:c r="G30" s="43"/>
      <x:c r="H30" s="93"/>
      <x:c r="I30" s="96"/>
      <x:c r="J30" s="43"/>
      <x:c r="K30" s="40"/>
    </x:row>
    <x:row r="31" ht="18" customHeight="1">
      <x:c r="A31" s="43"/>
      <x:c r="B31" s="43"/>
      <x:c r="C31" s="43"/>
      <x:c r="D31" s="43"/>
      <x:c r="E31" s="80"/>
      <x:c r="F31" s="103" t="str">
        <x:f>IF(E31="","",1-E31)</x:f>
      </x:c>
      <x:c r="G31" s="43"/>
      <x:c r="H31" s="93"/>
      <x:c r="I31" s="96"/>
      <x:c r="J31" s="43"/>
      <x:c r="K31" s="40"/>
    </x:row>
    <x:row r="32" ht="18" customHeight="1">
      <x:c r="A32" s="43"/>
      <x:c r="B32" s="43"/>
      <x:c r="C32" s="43"/>
      <x:c r="D32" s="43"/>
      <x:c r="E32" s="80"/>
      <x:c r="F32" s="103" t="str">
        <x:f>IF(E32="","",1-E32)</x:f>
      </x:c>
      <x:c r="G32" s="43"/>
      <x:c r="H32" s="93"/>
      <x:c r="I32" s="96"/>
      <x:c r="J32" s="43"/>
      <x:c r="K32" s="40"/>
    </x:row>
    <x:row r="33" ht="18" customHeight="1">
      <x:c r="A33" s="43"/>
      <x:c r="B33" s="43"/>
      <x:c r="C33" s="43"/>
      <x:c r="D33" s="43"/>
      <x:c r="E33" s="80"/>
      <x:c r="F33" s="103" t="str">
        <x:f>IF(E33="","",1-E33)</x:f>
      </x:c>
      <x:c r="G33" s="43"/>
      <x:c r="H33" s="93"/>
      <x:c r="I33" s="96"/>
      <x:c r="J33" s="43"/>
      <x:c r="K33" s="40"/>
    </x:row>
    <x:row r="34" ht="18" customHeight="1">
      <x:c r="A34" s="43"/>
      <x:c r="B34" s="43"/>
      <x:c r="C34" s="43"/>
      <x:c r="D34" s="43"/>
      <x:c r="E34" s="80"/>
      <x:c r="F34" s="103" t="str">
        <x:f>IF(E34="","",1-E34)</x:f>
      </x:c>
      <x:c r="G34" s="43"/>
      <x:c r="H34" s="93"/>
      <x:c r="I34" s="96"/>
      <x:c r="J34" s="43"/>
      <x:c r="K34" s="40"/>
    </x:row>
    <x:row r="35" ht="18" customHeight="1">
      <x:c r="A35" s="43"/>
      <x:c r="B35" s="43"/>
      <x:c r="C35" s="43"/>
      <x:c r="D35" s="43"/>
      <x:c r="E35" s="80"/>
      <x:c r="F35" s="103" t="str">
        <x:f>IF(E35="","",1-E35)</x:f>
      </x:c>
      <x:c r="G35" s="43"/>
      <x:c r="H35" s="93"/>
      <x:c r="I35" s="96"/>
      <x:c r="J35" s="43"/>
      <x:c r="K35" s="40"/>
    </x:row>
    <x:row r="36" ht="18" customHeight="1">
      <x:c r="A36" s="43"/>
      <x:c r="B36" s="43"/>
      <x:c r="C36" s="43"/>
      <x:c r="D36" s="43"/>
      <x:c r="E36" s="80"/>
      <x:c r="F36" s="103" t="str">
        <x:f>IF(E36="","",1-E36)</x:f>
      </x:c>
      <x:c r="G36" s="43"/>
      <x:c r="H36" s="93"/>
      <x:c r="I36" s="96"/>
      <x:c r="J36" s="43"/>
      <x:c r="K36" s="40"/>
    </x:row>
    <x:row r="37" ht="18" customHeight="1">
      <x:c r="A37" s="43"/>
      <x:c r="B37" s="43"/>
      <x:c r="C37" s="43"/>
      <x:c r="D37" s="43"/>
      <x:c r="E37" s="80"/>
      <x:c r="F37" s="103" t="str">
        <x:f>IF(E37="","",1-E37)</x:f>
      </x:c>
      <x:c r="G37" s="43"/>
      <x:c r="H37" s="93"/>
      <x:c r="I37" s="96"/>
      <x:c r="J37" s="43"/>
      <x:c r="K37" s="40"/>
    </x:row>
    <x:row r="38" ht="18" customHeight="1">
      <x:c r="A38" s="43"/>
      <x:c r="B38" s="43"/>
      <x:c r="C38" s="43"/>
      <x:c r="D38" s="43"/>
      <x:c r="E38" s="80"/>
      <x:c r="F38" s="103" t="str">
        <x:f>IF(E38="","",1-E38)</x:f>
      </x:c>
      <x:c r="G38" s="43"/>
      <x:c r="H38" s="93"/>
      <x:c r="I38" s="96"/>
      <x:c r="J38" s="43"/>
      <x:c r="K38" s="40"/>
    </x:row>
    <x:row r="39" ht="18" customHeight="1">
      <x:c r="A39" s="43"/>
      <x:c r="B39" s="43"/>
      <x:c r="C39" s="43"/>
      <x:c r="D39" s="43"/>
      <x:c r="E39" s="80"/>
      <x:c r="F39" s="103" t="str">
        <x:f>IF(E39="","",1-E39)</x:f>
      </x:c>
      <x:c r="G39" s="43"/>
      <x:c r="H39" s="93"/>
      <x:c r="I39" s="96"/>
      <x:c r="J39" s="43"/>
      <x:c r="K39" s="40"/>
    </x:row>
    <x:row r="40" ht="18" customHeight="1">
      <x:c r="A40" s="43"/>
      <x:c r="B40" s="43"/>
      <x:c r="C40" s="43"/>
      <x:c r="D40" s="43"/>
      <x:c r="E40" s="80"/>
      <x:c r="F40" s="103" t="str">
        <x:f>IF(E40="","",1-E40)</x:f>
      </x:c>
      <x:c r="G40" s="43"/>
      <x:c r="H40" s="93"/>
      <x:c r="I40" s="96"/>
      <x:c r="J40" s="43"/>
      <x:c r="K40" s="40"/>
    </x:row>
    <x:row r="41" ht="18" customHeight="1">
      <x:c r="A41" s="43"/>
      <x:c r="B41" s="43"/>
      <x:c r="C41" s="43"/>
      <x:c r="D41" s="43"/>
      <x:c r="E41" s="80"/>
      <x:c r="F41" s="103" t="str">
        <x:f>IF(E41="","",1-E41)</x:f>
      </x:c>
      <x:c r="G41" s="43"/>
      <x:c r="H41" s="93"/>
      <x:c r="I41" s="96"/>
      <x:c r="J41" s="43"/>
      <x:c r="K41" s="40"/>
    </x:row>
    <x:row r="42" ht="18" customHeight="1">
      <x:c r="A42" s="43"/>
      <x:c r="B42" s="43"/>
      <x:c r="C42" s="43"/>
      <x:c r="D42" s="43"/>
      <x:c r="E42" s="80"/>
      <x:c r="F42" s="103" t="str">
        <x:f>IF(E42="","",1-E42)</x:f>
      </x:c>
      <x:c r="G42" s="43"/>
      <x:c r="H42" s="93"/>
      <x:c r="I42" s="96"/>
      <x:c r="J42" s="43"/>
      <x:c r="K42" s="40"/>
    </x:row>
    <x:row r="43" ht="18" customHeight="1">
      <x:c r="A43" s="43"/>
      <x:c r="B43" s="43"/>
      <x:c r="C43" s="43"/>
      <x:c r="D43" s="43"/>
      <x:c r="E43" s="80"/>
      <x:c r="F43" s="103" t="str">
        <x:f>IF(E43="","",1-E43)</x:f>
      </x:c>
      <x:c r="G43" s="43"/>
      <x:c r="H43" s="93"/>
      <x:c r="I43" s="96"/>
      <x:c r="J43" s="43"/>
      <x:c r="K43" s="40"/>
    </x:row>
    <x:row r="44" ht="18" customHeight="1">
      <x:c r="A44" s="43"/>
      <x:c r="B44" s="43"/>
      <x:c r="C44" s="43"/>
      <x:c r="D44" s="43"/>
      <x:c r="E44" s="80"/>
      <x:c r="F44" s="103" t="str">
        <x:f>IF(E44="","",1-E44)</x:f>
      </x:c>
      <x:c r="G44" s="43"/>
      <x:c r="H44" s="93"/>
      <x:c r="I44" s="96"/>
      <x:c r="J44" s="43"/>
      <x:c r="K44" s="40"/>
    </x:row>
    <x:row r="45" ht="18" customHeight="1">
      <x:c r="A45" s="43"/>
      <x:c r="B45" s="43"/>
      <x:c r="C45" s="43"/>
      <x:c r="D45" s="43"/>
      <x:c r="E45" s="80"/>
      <x:c r="F45" s="103" t="str">
        <x:f>IF(E45="","",1-E45)</x:f>
      </x:c>
      <x:c r="G45" s="43"/>
      <x:c r="H45" s="93"/>
      <x:c r="I45" s="96"/>
      <x:c r="J45" s="43"/>
      <x:c r="K45" s="40"/>
    </x:row>
    <x:row r="46" ht="18" customHeight="1">
      <x:c r="A46" s="43"/>
      <x:c r="B46" s="43"/>
      <x:c r="C46" s="43"/>
      <x:c r="D46" s="43"/>
      <x:c r="E46" s="80"/>
      <x:c r="F46" s="103" t="str">
        <x:f>IF(E46="","",1-E46)</x:f>
      </x:c>
      <x:c r="G46" s="43"/>
      <x:c r="H46" s="93"/>
      <x:c r="I46" s="96"/>
      <x:c r="J46" s="43"/>
      <x:c r="K46" s="40"/>
    </x:row>
    <x:row r="47" ht="18" customHeight="1">
      <x:c r="A47" s="43"/>
      <x:c r="B47" s="43"/>
      <x:c r="C47" s="43"/>
      <x:c r="D47" s="43"/>
      <x:c r="E47" s="80"/>
      <x:c r="F47" s="103" t="str">
        <x:f>IF(E47="","",1-E47)</x:f>
      </x:c>
      <x:c r="G47" s="43"/>
      <x:c r="H47" s="93"/>
      <x:c r="I47" s="96"/>
      <x:c r="J47" s="43"/>
      <x:c r="K47" s="40"/>
    </x:row>
    <x:row r="48" ht="18" customHeight="1">
      <x:c r="A48" s="43"/>
      <x:c r="B48" s="43"/>
      <x:c r="C48" s="43"/>
      <x:c r="D48" s="43"/>
      <x:c r="E48" s="80"/>
      <x:c r="F48" s="103" t="str">
        <x:f>IF(E48="","",1-E48)</x:f>
      </x:c>
      <x:c r="G48" s="43"/>
      <x:c r="H48" s="93"/>
      <x:c r="I48" s="96"/>
      <x:c r="J48" s="43"/>
      <x:c r="K48" s="40"/>
    </x:row>
    <x:row r="49" ht="18" customHeight="1">
      <x:c r="A49" s="43"/>
      <x:c r="B49" s="43"/>
      <x:c r="C49" s="43"/>
      <x:c r="D49" s="43"/>
      <x:c r="E49" s="80"/>
      <x:c r="F49" s="103" t="str">
        <x:f>IF(E49="","",1-E49)</x:f>
      </x:c>
      <x:c r="G49" s="43"/>
      <x:c r="H49" s="93"/>
      <x:c r="I49" s="96"/>
      <x:c r="J49" s="43"/>
      <x:c r="K49" s="40"/>
    </x:row>
    <x:row r="50" ht="18" customHeight="1">
      <x:c r="A50" s="43"/>
      <x:c r="B50" s="43"/>
      <x:c r="C50" s="43"/>
      <x:c r="D50" s="43"/>
      <x:c r="E50" s="80"/>
      <x:c r="F50" s="103" t="str">
        <x:f>IF(E50="","",1-E50)</x:f>
      </x:c>
      <x:c r="G50" s="43"/>
      <x:c r="H50" s="93"/>
      <x:c r="I50" s="96"/>
      <x:c r="J50" s="43"/>
      <x:c r="K50" s="40"/>
    </x:row>
    <x:row r="51" ht="18" customHeight="1">
      <x:c r="A51" s="43"/>
      <x:c r="B51" s="43"/>
      <x:c r="C51" s="43"/>
      <x:c r="D51" s="43"/>
      <x:c r="E51" s="80"/>
      <x:c r="F51" s="103" t="str">
        <x:f>IF(E51="","",1-E51)</x:f>
      </x:c>
      <x:c r="G51" s="43"/>
      <x:c r="H51" s="93"/>
      <x:c r="I51" s="96"/>
      <x:c r="J51" s="43"/>
      <x:c r="K51" s="40"/>
    </x:row>
    <x:row r="52" ht="18" customHeight="1">
      <x:c r="A52" s="43"/>
      <x:c r="B52" s="43"/>
      <x:c r="C52" s="43"/>
      <x:c r="D52" s="43"/>
      <x:c r="E52" s="80"/>
      <x:c r="F52" s="103" t="str">
        <x:f>IF(E52="","",1-E52)</x:f>
      </x:c>
      <x:c r="G52" s="43"/>
      <x:c r="H52" s="93"/>
      <x:c r="I52" s="96"/>
      <x:c r="J52" s="43"/>
      <x:c r="K52" s="40"/>
    </x:row>
    <x:row r="53" ht="18" customHeight="1">
      <x:c r="A53" s="43"/>
      <x:c r="B53" s="43"/>
      <x:c r="C53" s="43"/>
      <x:c r="D53" s="43"/>
      <x:c r="E53" s="80"/>
      <x:c r="F53" s="103" t="str">
        <x:f>IF(E53="","",1-E53)</x:f>
      </x:c>
      <x:c r="G53" s="43"/>
      <x:c r="H53" s="93"/>
      <x:c r="I53" s="96"/>
      <x:c r="J53" s="43"/>
      <x:c r="K53" s="40"/>
    </x:row>
    <x:row r="54" ht="18" customHeight="1">
      <x:c r="A54" s="43"/>
      <x:c r="B54" s="43"/>
      <x:c r="C54" s="43"/>
      <x:c r="D54" s="43"/>
      <x:c r="E54" s="80"/>
      <x:c r="F54" s="103" t="str">
        <x:f>IF(E54="","",1-E54)</x:f>
      </x:c>
      <x:c r="G54" s="43"/>
      <x:c r="H54" s="93"/>
      <x:c r="I54" s="96"/>
      <x:c r="J54" s="43"/>
      <x:c r="K54" s="40"/>
    </x:row>
    <x:row r="55" ht="18" customHeight="1">
      <x:c r="A55" s="43"/>
      <x:c r="B55" s="43"/>
      <x:c r="C55" s="43"/>
      <x:c r="D55" s="43"/>
      <x:c r="E55" s="80"/>
      <x:c r="F55" s="103" t="str">
        <x:f>IF(E55="","",1-E55)</x:f>
      </x:c>
      <x:c r="G55" s="43"/>
      <x:c r="H55" s="93"/>
      <x:c r="I55" s="96"/>
      <x:c r="J55" s="43"/>
      <x:c r="K55" s="40"/>
    </x:row>
    <x:row r="56" ht="18" customHeight="1">
      <x:c r="A56" s="44"/>
      <x:c r="B56" s="44"/>
      <x:c r="C56" s="44"/>
      <x:c r="D56" s="44"/>
      <x:c r="E56" s="104"/>
      <x:c r="F56" s="103" t="str">
        <x:f>IF(E56="","",1-E56)</x:f>
      </x:c>
      <x:c r="G56" s="44"/>
      <x:c r="H56" s="94"/>
      <x:c r="I56" s="97"/>
      <x:c r="J56" s="44"/>
      <x:c r="K56" s="41"/>
    </x:row>
  </x:sheetData>
  <x:mergeCells>
    <x:mergeCell ref="A1:K1"/>
    <x:mergeCell ref="A2:K2"/>
    <x:mergeCell ref="A3:K4"/>
  </x:mergeCells>
  <x:conditionalFormatting sqref="J7:J56">
    <x:cfRule type="containsText" dxfId="32" priority="1" operator="containsText" text="启用"/>
    <x:cfRule type="containsText" dxfId="33" priority="2" operator="containsText" text="已发布"/>
    <x:cfRule type="containsText" dxfId="34" priority="3" operator="containsText" text="草稿"/>
    <x:cfRule type="containsText" dxfId="35" priority="4" operator="containsText" text="停用"/>
  </x:conditionalFormatting>
  <x:conditionalFormatting sqref="A7:A56">
    <x:cfRule type="duplicateValues" dxfId="36" priority="5"/>
  </x:conditionalFormatting>
  <x:dataValidations count="4">
    <x:dataValidation type="list" sqref="B7:B56">
      <x:formula1>'游戏配置'!$A$7:$A$46</x:formula1>
    </x:dataValidation>
    <x:dataValidation type="list" sqref="D7:D56">
      <x:formula1>"iOS,其他移动端,其他渠道"</x:formula1>
    </x:dataValidation>
    <x:dataValidation type="decimal" operator="between" sqref="E7:E56">
      <x:formula1>0</x:formula1>
      <x:formula2>1</x:formula2>
    </x:dataValidation>
    <x:dataValidation type="list" sqref="J7:J56">
      <x:formula1>"草稿,已发布,停用"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75" hidden="0" customWidth="1"/>
    <x:col min="2" max="2" width="17.5" hidden="0" customWidth="1"/>
    <x:col min="3" max="3" width="13.130000114440918" hidden="0" customWidth="1"/>
    <x:col min="4" max="4" width="13.130000114440918" hidden="0" customWidth="1"/>
    <x:col min="5" max="5" width="18.75" hidden="0" customWidth="1"/>
    <x:col min="6" max="6" width="11.25" hidden="0" customWidth="1"/>
    <x:col min="7" max="7" width="11.25" hidden="0" customWidth="1"/>
    <x:col min="8" max="8" width="13.130000114440918" hidden="0" customWidth="1"/>
    <x:col min="9" max="9" width="19.3799991607666" hidden="0" customWidth="1"/>
    <x:col min="10" max="10" width="19.3799991607666" hidden="0" customWidth="1"/>
    <x:col min="11" max="11" width="19.3799991607666" hidden="0" customWidth="1"/>
    <x:col min="12" max="12" width="13.130000114440918" hidden="0" customWidth="1"/>
    <x:col min="13" max="13" width="13.130000114440918" hidden="0" customWidth="1"/>
    <x:col min="14" max="14" width="14.380000114440918" hidden="0" customWidth="1"/>
    <x:col min="15" max="15" width="14.380000114440918" hidden="0" customWidth="1"/>
    <x:col min="16" max="16" width="13.130000114440918" hidden="0" customWidth="1"/>
    <x:col min="17" max="17" width="13.130000114440918" hidden="0" customWidth="1"/>
    <x:col min="18" max="18" width="37.5" hidden="0" customWidth="1"/>
  </x:cols>
  <x:sheetData>
    <x:row r="1" ht="28.5" customHeight="1">
      <x:c r="A1" s="3" t="str">
        <x:v>排名 → iOS 日流水算法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</x:row>
    <x:row r="2" ht="19.5" customHeight="1">
      <x:c r="A2" s="6" t="str">
        <x:v>算法数据按要求留空，待最终提供后填写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  <x:c r="R2" s="6"/>
    </x:row>
    <x:row r="3" ht="21" customHeight="1">
      <x:c r="A3" s="21" t="str">
        <x:v>每个国家和榜单口径独立配置；不执行任意 Python/JavaScript。保守值 ≤ 基准值 ≤ 乐观值，超出覆盖范围默认不可测算。</x:v>
      </x:c>
      <x:c r="B3" s="22"/>
      <x:c r="C3" s="22"/>
      <x:c r="D3" s="22"/>
      <x:c r="E3" s="22"/>
      <x:c r="F3" s="22"/>
      <x:c r="G3" s="22"/>
      <x:c r="H3" s="22"/>
      <x:c r="I3" s="22"/>
      <x:c r="J3" s="22"/>
      <x:c r="K3" s="22"/>
      <x:c r="L3" s="22"/>
      <x:c r="M3" s="22"/>
      <x:c r="N3" s="22"/>
      <x:c r="O3" s="22"/>
      <x:c r="P3" s="22"/>
      <x:c r="Q3" s="22"/>
      <x:c r="R3" s="23"/>
    </x:row>
    <x:row r="4" ht="21" customHeight="1">
      <x:c r="A4" s="24"/>
      <x:c r="B4" s="25"/>
      <x:c r="C4" s="25"/>
      <x:c r="D4" s="25"/>
      <x:c r="E4" s="25"/>
      <x:c r="F4" s="25"/>
      <x:c r="G4" s="25"/>
      <x:c r="H4" s="25"/>
      <x:c r="I4" s="25"/>
      <x:c r="J4" s="25"/>
      <x:c r="K4" s="25"/>
      <x:c r="L4" s="25"/>
      <x:c r="M4" s="25"/>
      <x:c r="N4" s="25"/>
      <x:c r="O4" s="25"/>
      <x:c r="P4" s="25"/>
      <x:c r="Q4" s="25"/>
      <x:c r="R4" s="26"/>
    </x:row>
    <x:row r="5">
      <x:c r="A5" s="130"/>
      <x:c r="B5" s="130"/>
      <x:c r="C5" s="130"/>
      <x:c r="D5" s="130"/>
      <x:c r="E5" s="130"/>
      <x:c r="F5" s="130"/>
      <x:c r="G5" s="130"/>
      <x:c r="H5" s="130"/>
      <x:c r="I5" s="130"/>
      <x:c r="J5" s="130"/>
      <x:c r="K5" s="130"/>
      <x:c r="L5" s="130"/>
      <x:c r="M5" s="130"/>
      <x:c r="N5" s="130"/>
      <x:c r="O5" s="130"/>
      <x:c r="P5" s="130"/>
      <x:c r="Q5" s="130"/>
      <x:c r="R5" s="130"/>
    </x:row>
    <x:row r="6" ht="43.5" customHeight="1">
      <x:c r="A6" s="31" t="str">
        <x:v>algorithm_id
算法ID *</x:v>
      </x:c>
      <x:c r="B6" s="31" t="str">
        <x:v>game_id
游戏ID *</x:v>
      </x:c>
      <x:c r="C6" s="31" t="str">
        <x:v>country_code
国家代码 *</x:v>
      </x:c>
      <x:c r="D6" s="31" t="str">
        <x:v>provider_scope
来源范围 *</x:v>
      </x:c>
      <x:c r="E6" s="31" t="str">
        <x:v>chart_type
榜单类型 *</x:v>
      </x:c>
      <x:c r="F6" s="31" t="str">
        <x:v>rank_min
起始排名 *</x:v>
      </x:c>
      <x:c r="G6" s="31" t="str">
        <x:v>rank_max
结束排名 *</x:v>
      </x:c>
      <x:c r="H6" s="31" t="str">
        <x:v>interpolation
插值方式 *</x:v>
      </x:c>
      <x:c r="I6" s="31" t="str">
        <x:v>conservative_ios_daily_gross
保守iOS日流水 *</x:v>
      </x:c>
      <x:c r="J6" s="31" t="str">
        <x:v>base_ios_daily_gross
基准iOS日流水 *</x:v>
      </x:c>
      <x:c r="K6" s="31" t="str">
        <x:v>optimistic_ios_daily_gross
乐观iOS日流水 *</x:v>
      </x:c>
      <x:c r="L6" s="31" t="str">
        <x:v>currency_code
原币代码 *</x:v>
      </x:c>
      <x:c r="M6" s="31" t="str">
        <x:v>config_version
配置版本 *</x:v>
      </x:c>
      <x:c r="N6" s="31" t="str">
        <x:v>effective_date
生效日期 *</x:v>
      </x:c>
      <x:c r="O6" s="31" t="str">
        <x:v>end_date
失效日期</x:v>
      </x:c>
      <x:c r="P6" s="31" t="str">
        <x:v>publish_status
发布状态 *</x:v>
      </x:c>
      <x:c r="Q6" s="31" t="str">
        <x:v>scenario_check
三档校验</x:v>
      </x:c>
      <x:c r="R6" s="31" t="str">
        <x:v>notes
备注</x:v>
      </x:c>
    </x:row>
    <x:row r="7" ht="18" customHeight="1">
      <x:c r="A7" s="42"/>
      <x:c r="B7" s="42"/>
      <x:c r="C7" s="42"/>
      <x:c r="D7" s="42"/>
      <x:c r="E7" s="42"/>
      <x:c r="F7" s="84"/>
      <x:c r="G7" s="84"/>
      <x:c r="H7" s="42"/>
      <x:c r="I7" s="105"/>
      <x:c r="J7" s="105"/>
      <x:c r="K7" s="105"/>
      <x:c r="L7" s="42"/>
      <x:c r="M7" s="42"/>
      <x:c r="N7" s="92"/>
      <x:c r="O7" s="95"/>
      <x:c r="P7" s="42"/>
      <x:c r="Q7" s="48" t="str">
        <x:f>IF(COUNTA(A7:P7)=0,"",IF(OR(F7&lt;1,G7&lt;F7,I7&lt;0,J7&lt;I7,K7&lt;J7),"错误","OK"))</x:f>
      </x:c>
      <x:c r="R7" s="39"/>
    </x:row>
    <x:row r="8" ht="18" customHeight="1">
      <x:c r="A8" s="43"/>
      <x:c r="B8" s="43"/>
      <x:c r="C8" s="43"/>
      <x:c r="D8" s="43"/>
      <x:c r="E8" s="43"/>
      <x:c r="F8" s="81"/>
      <x:c r="G8" s="81"/>
      <x:c r="H8" s="43"/>
      <x:c r="I8" s="106"/>
      <x:c r="J8" s="106"/>
      <x:c r="K8" s="106"/>
      <x:c r="L8" s="43"/>
      <x:c r="M8" s="43"/>
      <x:c r="N8" s="93"/>
      <x:c r="O8" s="96"/>
      <x:c r="P8" s="43"/>
      <x:c r="Q8" s="49" t="str">
        <x:f>IF(COUNTA(A8:P8)=0,"",IF(OR(F8&lt;1,G8&lt;F8,I8&lt;0,J8&lt;I8,K8&lt;J8),"错误","OK"))</x:f>
      </x:c>
      <x:c r="R8" s="40"/>
    </x:row>
    <x:row r="9" ht="18" customHeight="1">
      <x:c r="A9" s="43"/>
      <x:c r="B9" s="43"/>
      <x:c r="C9" s="43"/>
      <x:c r="D9" s="43"/>
      <x:c r="E9" s="43"/>
      <x:c r="F9" s="81"/>
      <x:c r="G9" s="81"/>
      <x:c r="H9" s="43"/>
      <x:c r="I9" s="106"/>
      <x:c r="J9" s="106"/>
      <x:c r="K9" s="106"/>
      <x:c r="L9" s="43"/>
      <x:c r="M9" s="43"/>
      <x:c r="N9" s="93"/>
      <x:c r="O9" s="96"/>
      <x:c r="P9" s="43"/>
      <x:c r="Q9" s="49" t="str">
        <x:f>IF(COUNTA(A9:P9)=0,"",IF(OR(F9&lt;1,G9&lt;F9,I9&lt;0,J9&lt;I9,K9&lt;J9),"错误","OK"))</x:f>
      </x:c>
      <x:c r="R9" s="40"/>
    </x:row>
    <x:row r="10" ht="18" customHeight="1">
      <x:c r="A10" s="43"/>
      <x:c r="B10" s="43"/>
      <x:c r="C10" s="43"/>
      <x:c r="D10" s="43"/>
      <x:c r="E10" s="43"/>
      <x:c r="F10" s="81"/>
      <x:c r="G10" s="81"/>
      <x:c r="H10" s="43"/>
      <x:c r="I10" s="106"/>
      <x:c r="J10" s="106"/>
      <x:c r="K10" s="106"/>
      <x:c r="L10" s="43"/>
      <x:c r="M10" s="43"/>
      <x:c r="N10" s="93"/>
      <x:c r="O10" s="96"/>
      <x:c r="P10" s="43"/>
      <x:c r="Q10" s="49" t="str">
        <x:f>IF(COUNTA(A10:P10)=0,"",IF(OR(F10&lt;1,G10&lt;F10,I10&lt;0,J10&lt;I10,K10&lt;J10),"错误","OK"))</x:f>
      </x:c>
      <x:c r="R10" s="40"/>
    </x:row>
    <x:row r="11" ht="18" customHeight="1">
      <x:c r="A11" s="43"/>
      <x:c r="B11" s="43"/>
      <x:c r="C11" s="43"/>
      <x:c r="D11" s="43"/>
      <x:c r="E11" s="43"/>
      <x:c r="F11" s="81"/>
      <x:c r="G11" s="81"/>
      <x:c r="H11" s="43"/>
      <x:c r="I11" s="106"/>
      <x:c r="J11" s="106"/>
      <x:c r="K11" s="106"/>
      <x:c r="L11" s="43"/>
      <x:c r="M11" s="43"/>
      <x:c r="N11" s="93"/>
      <x:c r="O11" s="96"/>
      <x:c r="P11" s="43"/>
      <x:c r="Q11" s="49" t="str">
        <x:f>IF(COUNTA(A11:P11)=0,"",IF(OR(F11&lt;1,G11&lt;F11,I11&lt;0,J11&lt;I11,K11&lt;J11),"错误","OK"))</x:f>
      </x:c>
      <x:c r="R11" s="40"/>
    </x:row>
    <x:row r="12" ht="18" customHeight="1">
      <x:c r="A12" s="43"/>
      <x:c r="B12" s="43"/>
      <x:c r="C12" s="43"/>
      <x:c r="D12" s="43"/>
      <x:c r="E12" s="43"/>
      <x:c r="F12" s="81"/>
      <x:c r="G12" s="81"/>
      <x:c r="H12" s="43"/>
      <x:c r="I12" s="106"/>
      <x:c r="J12" s="106"/>
      <x:c r="K12" s="106"/>
      <x:c r="L12" s="43"/>
      <x:c r="M12" s="43"/>
      <x:c r="N12" s="93"/>
      <x:c r="O12" s="96"/>
      <x:c r="P12" s="43"/>
      <x:c r="Q12" s="49" t="str">
        <x:f>IF(COUNTA(A12:P12)=0,"",IF(OR(F12&lt;1,G12&lt;F12,I12&lt;0,J12&lt;I12,K12&lt;J12),"错误","OK"))</x:f>
      </x:c>
      <x:c r="R12" s="40"/>
    </x:row>
    <x:row r="13" ht="18" customHeight="1">
      <x:c r="A13" s="43"/>
      <x:c r="B13" s="43"/>
      <x:c r="C13" s="43"/>
      <x:c r="D13" s="43"/>
      <x:c r="E13" s="43"/>
      <x:c r="F13" s="81"/>
      <x:c r="G13" s="81"/>
      <x:c r="H13" s="43"/>
      <x:c r="I13" s="106"/>
      <x:c r="J13" s="106"/>
      <x:c r="K13" s="106"/>
      <x:c r="L13" s="43"/>
      <x:c r="M13" s="43"/>
      <x:c r="N13" s="93"/>
      <x:c r="O13" s="96"/>
      <x:c r="P13" s="43"/>
      <x:c r="Q13" s="49" t="str">
        <x:f>IF(COUNTA(A13:P13)=0,"",IF(OR(F13&lt;1,G13&lt;F13,I13&lt;0,J13&lt;I13,K13&lt;J13),"错误","OK"))</x:f>
      </x:c>
      <x:c r="R13" s="40"/>
    </x:row>
    <x:row r="14" ht="18" customHeight="1">
      <x:c r="A14" s="43"/>
      <x:c r="B14" s="43"/>
      <x:c r="C14" s="43"/>
      <x:c r="D14" s="43"/>
      <x:c r="E14" s="43"/>
      <x:c r="F14" s="81"/>
      <x:c r="G14" s="81"/>
      <x:c r="H14" s="43"/>
      <x:c r="I14" s="106"/>
      <x:c r="J14" s="106"/>
      <x:c r="K14" s="106"/>
      <x:c r="L14" s="43"/>
      <x:c r="M14" s="43"/>
      <x:c r="N14" s="93"/>
      <x:c r="O14" s="96"/>
      <x:c r="P14" s="43"/>
      <x:c r="Q14" s="49" t="str">
        <x:f>IF(COUNTA(A14:P14)=0,"",IF(OR(F14&lt;1,G14&lt;F14,I14&lt;0,J14&lt;I14,K14&lt;J14),"错误","OK"))</x:f>
      </x:c>
      <x:c r="R14" s="40"/>
    </x:row>
    <x:row r="15" ht="18" customHeight="1">
      <x:c r="A15" s="43"/>
      <x:c r="B15" s="43"/>
      <x:c r="C15" s="43"/>
      <x:c r="D15" s="43"/>
      <x:c r="E15" s="43"/>
      <x:c r="F15" s="81"/>
      <x:c r="G15" s="81"/>
      <x:c r="H15" s="43"/>
      <x:c r="I15" s="106"/>
      <x:c r="J15" s="106"/>
      <x:c r="K15" s="106"/>
      <x:c r="L15" s="43"/>
      <x:c r="M15" s="43"/>
      <x:c r="N15" s="93"/>
      <x:c r="O15" s="96"/>
      <x:c r="P15" s="43"/>
      <x:c r="Q15" s="49" t="str">
        <x:f>IF(COUNTA(A15:P15)=0,"",IF(OR(F15&lt;1,G15&lt;F15,I15&lt;0,J15&lt;I15,K15&lt;J15),"错误","OK"))</x:f>
      </x:c>
      <x:c r="R15" s="40"/>
    </x:row>
    <x:row r="16" ht="18" customHeight="1">
      <x:c r="A16" s="43"/>
      <x:c r="B16" s="43"/>
      <x:c r="C16" s="43"/>
      <x:c r="D16" s="43"/>
      <x:c r="E16" s="43"/>
      <x:c r="F16" s="81"/>
      <x:c r="G16" s="81"/>
      <x:c r="H16" s="43"/>
      <x:c r="I16" s="106"/>
      <x:c r="J16" s="106"/>
      <x:c r="K16" s="106"/>
      <x:c r="L16" s="43"/>
      <x:c r="M16" s="43"/>
      <x:c r="N16" s="93"/>
      <x:c r="O16" s="96"/>
      <x:c r="P16" s="43"/>
      <x:c r="Q16" s="49" t="str">
        <x:f>IF(COUNTA(A16:P16)=0,"",IF(OR(F16&lt;1,G16&lt;F16,I16&lt;0,J16&lt;I16,K16&lt;J16),"错误","OK"))</x:f>
      </x:c>
      <x:c r="R16" s="40"/>
    </x:row>
    <x:row r="17" ht="18" customHeight="1">
      <x:c r="A17" s="43"/>
      <x:c r="B17" s="43"/>
      <x:c r="C17" s="43"/>
      <x:c r="D17" s="43"/>
      <x:c r="E17" s="43"/>
      <x:c r="F17" s="81"/>
      <x:c r="G17" s="81"/>
      <x:c r="H17" s="43"/>
      <x:c r="I17" s="106"/>
      <x:c r="J17" s="106"/>
      <x:c r="K17" s="106"/>
      <x:c r="L17" s="43"/>
      <x:c r="M17" s="43"/>
      <x:c r="N17" s="93"/>
      <x:c r="O17" s="96"/>
      <x:c r="P17" s="43"/>
      <x:c r="Q17" s="49" t="str">
        <x:f>IF(COUNTA(A17:P17)=0,"",IF(OR(F17&lt;1,G17&lt;F17,I17&lt;0,J17&lt;I17,K17&lt;J17),"错误","OK"))</x:f>
      </x:c>
      <x:c r="R17" s="40"/>
    </x:row>
    <x:row r="18" ht="18" customHeight="1">
      <x:c r="A18" s="43"/>
      <x:c r="B18" s="43"/>
      <x:c r="C18" s="43"/>
      <x:c r="D18" s="43"/>
      <x:c r="E18" s="43"/>
      <x:c r="F18" s="81"/>
      <x:c r="G18" s="81"/>
      <x:c r="H18" s="43"/>
      <x:c r="I18" s="106"/>
      <x:c r="J18" s="106"/>
      <x:c r="K18" s="106"/>
      <x:c r="L18" s="43"/>
      <x:c r="M18" s="43"/>
      <x:c r="N18" s="93"/>
      <x:c r="O18" s="96"/>
      <x:c r="P18" s="43"/>
      <x:c r="Q18" s="49" t="str">
        <x:f>IF(COUNTA(A18:P18)=0,"",IF(OR(F18&lt;1,G18&lt;F18,I18&lt;0,J18&lt;I18,K18&lt;J18),"错误","OK"))</x:f>
      </x:c>
      <x:c r="R18" s="40"/>
    </x:row>
    <x:row r="19" ht="18" customHeight="1">
      <x:c r="A19" s="43"/>
      <x:c r="B19" s="43"/>
      <x:c r="C19" s="43"/>
      <x:c r="D19" s="43"/>
      <x:c r="E19" s="43"/>
      <x:c r="F19" s="81"/>
      <x:c r="G19" s="81"/>
      <x:c r="H19" s="43"/>
      <x:c r="I19" s="106"/>
      <x:c r="J19" s="106"/>
      <x:c r="K19" s="106"/>
      <x:c r="L19" s="43"/>
      <x:c r="M19" s="43"/>
      <x:c r="N19" s="93"/>
      <x:c r="O19" s="96"/>
      <x:c r="P19" s="43"/>
      <x:c r="Q19" s="49" t="str">
        <x:f>IF(COUNTA(A19:P19)=0,"",IF(OR(F19&lt;1,G19&lt;F19,I19&lt;0,J19&lt;I19,K19&lt;J19),"错误","OK"))</x:f>
      </x:c>
      <x:c r="R19" s="40"/>
    </x:row>
    <x:row r="20" ht="18" customHeight="1">
      <x:c r="A20" s="43"/>
      <x:c r="B20" s="43"/>
      <x:c r="C20" s="43"/>
      <x:c r="D20" s="43"/>
      <x:c r="E20" s="43"/>
      <x:c r="F20" s="81"/>
      <x:c r="G20" s="81"/>
      <x:c r="H20" s="43"/>
      <x:c r="I20" s="106"/>
      <x:c r="J20" s="106"/>
      <x:c r="K20" s="106"/>
      <x:c r="L20" s="43"/>
      <x:c r="M20" s="43"/>
      <x:c r="N20" s="93"/>
      <x:c r="O20" s="96"/>
      <x:c r="P20" s="43"/>
      <x:c r="Q20" s="49" t="str">
        <x:f>IF(COUNTA(A20:P20)=0,"",IF(OR(F20&lt;1,G20&lt;F20,I20&lt;0,J20&lt;I20,K20&lt;J20),"错误","OK"))</x:f>
      </x:c>
      <x:c r="R20" s="40"/>
    </x:row>
    <x:row r="21" ht="18" customHeight="1">
      <x:c r="A21" s="43"/>
      <x:c r="B21" s="43"/>
      <x:c r="C21" s="43"/>
      <x:c r="D21" s="43"/>
      <x:c r="E21" s="43"/>
      <x:c r="F21" s="81"/>
      <x:c r="G21" s="81"/>
      <x:c r="H21" s="43"/>
      <x:c r="I21" s="106"/>
      <x:c r="J21" s="106"/>
      <x:c r="K21" s="106"/>
      <x:c r="L21" s="43"/>
      <x:c r="M21" s="43"/>
      <x:c r="N21" s="93"/>
      <x:c r="O21" s="96"/>
      <x:c r="P21" s="43"/>
      <x:c r="Q21" s="49" t="str">
        <x:f>IF(COUNTA(A21:P21)=0,"",IF(OR(F21&lt;1,G21&lt;F21,I21&lt;0,J21&lt;I21,K21&lt;J21),"错误","OK"))</x:f>
      </x:c>
      <x:c r="R21" s="40"/>
    </x:row>
    <x:row r="22" ht="18" customHeight="1">
      <x:c r="A22" s="43"/>
      <x:c r="B22" s="43"/>
      <x:c r="C22" s="43"/>
      <x:c r="D22" s="43"/>
      <x:c r="E22" s="43"/>
      <x:c r="F22" s="81"/>
      <x:c r="G22" s="81"/>
      <x:c r="H22" s="43"/>
      <x:c r="I22" s="106"/>
      <x:c r="J22" s="106"/>
      <x:c r="K22" s="106"/>
      <x:c r="L22" s="43"/>
      <x:c r="M22" s="43"/>
      <x:c r="N22" s="93"/>
      <x:c r="O22" s="96"/>
      <x:c r="P22" s="43"/>
      <x:c r="Q22" s="49" t="str">
        <x:f>IF(COUNTA(A22:P22)=0,"",IF(OR(F22&lt;1,G22&lt;F22,I22&lt;0,J22&lt;I22,K22&lt;J22),"错误","OK"))</x:f>
      </x:c>
      <x:c r="R22" s="40"/>
    </x:row>
    <x:row r="23" ht="18" customHeight="1">
      <x:c r="A23" s="43"/>
      <x:c r="B23" s="43"/>
      <x:c r="C23" s="43"/>
      <x:c r="D23" s="43"/>
      <x:c r="E23" s="43"/>
      <x:c r="F23" s="81"/>
      <x:c r="G23" s="81"/>
      <x:c r="H23" s="43"/>
      <x:c r="I23" s="106"/>
      <x:c r="J23" s="106"/>
      <x:c r="K23" s="106"/>
      <x:c r="L23" s="43"/>
      <x:c r="M23" s="43"/>
      <x:c r="N23" s="93"/>
      <x:c r="O23" s="96"/>
      <x:c r="P23" s="43"/>
      <x:c r="Q23" s="49" t="str">
        <x:f>IF(COUNTA(A23:P23)=0,"",IF(OR(F23&lt;1,G23&lt;F23,I23&lt;0,J23&lt;I23,K23&lt;J23),"错误","OK"))</x:f>
      </x:c>
      <x:c r="R23" s="40"/>
    </x:row>
    <x:row r="24" ht="18" customHeight="1">
      <x:c r="A24" s="43"/>
      <x:c r="B24" s="43"/>
      <x:c r="C24" s="43"/>
      <x:c r="D24" s="43"/>
      <x:c r="E24" s="43"/>
      <x:c r="F24" s="81"/>
      <x:c r="G24" s="81"/>
      <x:c r="H24" s="43"/>
      <x:c r="I24" s="106"/>
      <x:c r="J24" s="106"/>
      <x:c r="K24" s="106"/>
      <x:c r="L24" s="43"/>
      <x:c r="M24" s="43"/>
      <x:c r="N24" s="93"/>
      <x:c r="O24" s="96"/>
      <x:c r="P24" s="43"/>
      <x:c r="Q24" s="49" t="str">
        <x:f>IF(COUNTA(A24:P24)=0,"",IF(OR(F24&lt;1,G24&lt;F24,I24&lt;0,J24&lt;I24,K24&lt;J24),"错误","OK"))</x:f>
      </x:c>
      <x:c r="R24" s="40"/>
    </x:row>
    <x:row r="25" ht="18" customHeight="1">
      <x:c r="A25" s="43"/>
      <x:c r="B25" s="43"/>
      <x:c r="C25" s="43"/>
      <x:c r="D25" s="43"/>
      <x:c r="E25" s="43"/>
      <x:c r="F25" s="81"/>
      <x:c r="G25" s="81"/>
      <x:c r="H25" s="43"/>
      <x:c r="I25" s="106"/>
      <x:c r="J25" s="106"/>
      <x:c r="K25" s="106"/>
      <x:c r="L25" s="43"/>
      <x:c r="M25" s="43"/>
      <x:c r="N25" s="93"/>
      <x:c r="O25" s="96"/>
      <x:c r="P25" s="43"/>
      <x:c r="Q25" s="49" t="str">
        <x:f>IF(COUNTA(A25:P25)=0,"",IF(OR(F25&lt;1,G25&lt;F25,I25&lt;0,J25&lt;I25,K25&lt;J25),"错误","OK"))</x:f>
      </x:c>
      <x:c r="R25" s="40"/>
    </x:row>
    <x:row r="26" ht="18" customHeight="1">
      <x:c r="A26" s="43"/>
      <x:c r="B26" s="43"/>
      <x:c r="C26" s="43"/>
      <x:c r="D26" s="43"/>
      <x:c r="E26" s="43"/>
      <x:c r="F26" s="81"/>
      <x:c r="G26" s="81"/>
      <x:c r="H26" s="43"/>
      <x:c r="I26" s="106"/>
      <x:c r="J26" s="106"/>
      <x:c r="K26" s="106"/>
      <x:c r="L26" s="43"/>
      <x:c r="M26" s="43"/>
      <x:c r="N26" s="93"/>
      <x:c r="O26" s="96"/>
      <x:c r="P26" s="43"/>
      <x:c r="Q26" s="49" t="str">
        <x:f>IF(COUNTA(A26:P26)=0,"",IF(OR(F26&lt;1,G26&lt;F26,I26&lt;0,J26&lt;I26,K26&lt;J26),"错误","OK"))</x:f>
      </x:c>
      <x:c r="R26" s="40"/>
    </x:row>
    <x:row r="27" ht="18" customHeight="1">
      <x:c r="A27" s="43"/>
      <x:c r="B27" s="43"/>
      <x:c r="C27" s="43"/>
      <x:c r="D27" s="43"/>
      <x:c r="E27" s="43"/>
      <x:c r="F27" s="81"/>
      <x:c r="G27" s="81"/>
      <x:c r="H27" s="43"/>
      <x:c r="I27" s="106"/>
      <x:c r="J27" s="106"/>
      <x:c r="K27" s="106"/>
      <x:c r="L27" s="43"/>
      <x:c r="M27" s="43"/>
      <x:c r="N27" s="93"/>
      <x:c r="O27" s="96"/>
      <x:c r="P27" s="43"/>
      <x:c r="Q27" s="49" t="str">
        <x:f>IF(COUNTA(A27:P27)=0,"",IF(OR(F27&lt;1,G27&lt;F27,I27&lt;0,J27&lt;I27,K27&lt;J27),"错误","OK"))</x:f>
      </x:c>
      <x:c r="R27" s="40"/>
    </x:row>
    <x:row r="28" ht="18" customHeight="1">
      <x:c r="A28" s="43"/>
      <x:c r="B28" s="43"/>
      <x:c r="C28" s="43"/>
      <x:c r="D28" s="43"/>
      <x:c r="E28" s="43"/>
      <x:c r="F28" s="81"/>
      <x:c r="G28" s="81"/>
      <x:c r="H28" s="43"/>
      <x:c r="I28" s="106"/>
      <x:c r="J28" s="106"/>
      <x:c r="K28" s="106"/>
      <x:c r="L28" s="43"/>
      <x:c r="M28" s="43"/>
      <x:c r="N28" s="93"/>
      <x:c r="O28" s="96"/>
      <x:c r="P28" s="43"/>
      <x:c r="Q28" s="49" t="str">
        <x:f>IF(COUNTA(A28:P28)=0,"",IF(OR(F28&lt;1,G28&lt;F28,I28&lt;0,J28&lt;I28,K28&lt;J28),"错误","OK"))</x:f>
      </x:c>
      <x:c r="R28" s="40"/>
    </x:row>
    <x:row r="29" ht="18" customHeight="1">
      <x:c r="A29" s="43"/>
      <x:c r="B29" s="43"/>
      <x:c r="C29" s="43"/>
      <x:c r="D29" s="43"/>
      <x:c r="E29" s="43"/>
      <x:c r="F29" s="81"/>
      <x:c r="G29" s="81"/>
      <x:c r="H29" s="43"/>
      <x:c r="I29" s="106"/>
      <x:c r="J29" s="106"/>
      <x:c r="K29" s="106"/>
      <x:c r="L29" s="43"/>
      <x:c r="M29" s="43"/>
      <x:c r="N29" s="93"/>
      <x:c r="O29" s="96"/>
      <x:c r="P29" s="43"/>
      <x:c r="Q29" s="49" t="str">
        <x:f>IF(COUNTA(A29:P29)=0,"",IF(OR(F29&lt;1,G29&lt;F29,I29&lt;0,J29&lt;I29,K29&lt;J29),"错误","OK"))</x:f>
      </x:c>
      <x:c r="R29" s="40"/>
    </x:row>
    <x:row r="30" ht="18" customHeight="1">
      <x:c r="A30" s="43"/>
      <x:c r="B30" s="43"/>
      <x:c r="C30" s="43"/>
      <x:c r="D30" s="43"/>
      <x:c r="E30" s="43"/>
      <x:c r="F30" s="81"/>
      <x:c r="G30" s="81"/>
      <x:c r="H30" s="43"/>
      <x:c r="I30" s="106"/>
      <x:c r="J30" s="106"/>
      <x:c r="K30" s="106"/>
      <x:c r="L30" s="43"/>
      <x:c r="M30" s="43"/>
      <x:c r="N30" s="93"/>
      <x:c r="O30" s="96"/>
      <x:c r="P30" s="43"/>
      <x:c r="Q30" s="49" t="str">
        <x:f>IF(COUNTA(A30:P30)=0,"",IF(OR(F30&lt;1,G30&lt;F30,I30&lt;0,J30&lt;I30,K30&lt;J30),"错误","OK"))</x:f>
      </x:c>
      <x:c r="R30" s="40"/>
    </x:row>
    <x:row r="31" ht="18" customHeight="1">
      <x:c r="A31" s="43"/>
      <x:c r="B31" s="43"/>
      <x:c r="C31" s="43"/>
      <x:c r="D31" s="43"/>
      <x:c r="E31" s="43"/>
      <x:c r="F31" s="81"/>
      <x:c r="G31" s="81"/>
      <x:c r="H31" s="43"/>
      <x:c r="I31" s="106"/>
      <x:c r="J31" s="106"/>
      <x:c r="K31" s="106"/>
      <x:c r="L31" s="43"/>
      <x:c r="M31" s="43"/>
      <x:c r="N31" s="93"/>
      <x:c r="O31" s="96"/>
      <x:c r="P31" s="43"/>
      <x:c r="Q31" s="49" t="str">
        <x:f>IF(COUNTA(A31:P31)=0,"",IF(OR(F31&lt;1,G31&lt;F31,I31&lt;0,J31&lt;I31,K31&lt;J31),"错误","OK"))</x:f>
      </x:c>
      <x:c r="R31" s="40"/>
    </x:row>
    <x:row r="32" ht="18" customHeight="1">
      <x:c r="A32" s="43"/>
      <x:c r="B32" s="43"/>
      <x:c r="C32" s="43"/>
      <x:c r="D32" s="43"/>
      <x:c r="E32" s="43"/>
      <x:c r="F32" s="81"/>
      <x:c r="G32" s="81"/>
      <x:c r="H32" s="43"/>
      <x:c r="I32" s="106"/>
      <x:c r="J32" s="106"/>
      <x:c r="K32" s="106"/>
      <x:c r="L32" s="43"/>
      <x:c r="M32" s="43"/>
      <x:c r="N32" s="93"/>
      <x:c r="O32" s="96"/>
      <x:c r="P32" s="43"/>
      <x:c r="Q32" s="49" t="str">
        <x:f>IF(COUNTA(A32:P32)=0,"",IF(OR(F32&lt;1,G32&lt;F32,I32&lt;0,J32&lt;I32,K32&lt;J32),"错误","OK"))</x:f>
      </x:c>
      <x:c r="R32" s="40"/>
    </x:row>
    <x:row r="33" ht="18" customHeight="1">
      <x:c r="A33" s="43"/>
      <x:c r="B33" s="43"/>
      <x:c r="C33" s="43"/>
      <x:c r="D33" s="43"/>
      <x:c r="E33" s="43"/>
      <x:c r="F33" s="81"/>
      <x:c r="G33" s="81"/>
      <x:c r="H33" s="43"/>
      <x:c r="I33" s="106"/>
      <x:c r="J33" s="106"/>
      <x:c r="K33" s="106"/>
      <x:c r="L33" s="43"/>
      <x:c r="M33" s="43"/>
      <x:c r="N33" s="93"/>
      <x:c r="O33" s="96"/>
      <x:c r="P33" s="43"/>
      <x:c r="Q33" s="49" t="str">
        <x:f>IF(COUNTA(A33:P33)=0,"",IF(OR(F33&lt;1,G33&lt;F33,I33&lt;0,J33&lt;I33,K33&lt;J33),"错误","OK"))</x:f>
      </x:c>
      <x:c r="R33" s="40"/>
    </x:row>
    <x:row r="34" ht="18" customHeight="1">
      <x:c r="A34" s="43"/>
      <x:c r="B34" s="43"/>
      <x:c r="C34" s="43"/>
      <x:c r="D34" s="43"/>
      <x:c r="E34" s="43"/>
      <x:c r="F34" s="81"/>
      <x:c r="G34" s="81"/>
      <x:c r="H34" s="43"/>
      <x:c r="I34" s="106"/>
      <x:c r="J34" s="106"/>
      <x:c r="K34" s="106"/>
      <x:c r="L34" s="43"/>
      <x:c r="M34" s="43"/>
      <x:c r="N34" s="93"/>
      <x:c r="O34" s="96"/>
      <x:c r="P34" s="43"/>
      <x:c r="Q34" s="49" t="str">
        <x:f>IF(COUNTA(A34:P34)=0,"",IF(OR(F34&lt;1,G34&lt;F34,I34&lt;0,J34&lt;I34,K34&lt;J34),"错误","OK"))</x:f>
      </x:c>
      <x:c r="R34" s="40"/>
    </x:row>
    <x:row r="35" ht="18" customHeight="1">
      <x:c r="A35" s="43"/>
      <x:c r="B35" s="43"/>
      <x:c r="C35" s="43"/>
      <x:c r="D35" s="43"/>
      <x:c r="E35" s="43"/>
      <x:c r="F35" s="81"/>
      <x:c r="G35" s="81"/>
      <x:c r="H35" s="43"/>
      <x:c r="I35" s="106"/>
      <x:c r="J35" s="106"/>
      <x:c r="K35" s="106"/>
      <x:c r="L35" s="43"/>
      <x:c r="M35" s="43"/>
      <x:c r="N35" s="93"/>
      <x:c r="O35" s="96"/>
      <x:c r="P35" s="43"/>
      <x:c r="Q35" s="49" t="str">
        <x:f>IF(COUNTA(A35:P35)=0,"",IF(OR(F35&lt;1,G35&lt;F35,I35&lt;0,J35&lt;I35,K35&lt;J35),"错误","OK"))</x:f>
      </x:c>
      <x:c r="R35" s="40"/>
    </x:row>
    <x:row r="36" ht="18" customHeight="1">
      <x:c r="A36" s="43"/>
      <x:c r="B36" s="43"/>
      <x:c r="C36" s="43"/>
      <x:c r="D36" s="43"/>
      <x:c r="E36" s="43"/>
      <x:c r="F36" s="81"/>
      <x:c r="G36" s="81"/>
      <x:c r="H36" s="43"/>
      <x:c r="I36" s="106"/>
      <x:c r="J36" s="106"/>
      <x:c r="K36" s="106"/>
      <x:c r="L36" s="43"/>
      <x:c r="M36" s="43"/>
      <x:c r="N36" s="93"/>
      <x:c r="O36" s="96"/>
      <x:c r="P36" s="43"/>
      <x:c r="Q36" s="49" t="str">
        <x:f>IF(COUNTA(A36:P36)=0,"",IF(OR(F36&lt;1,G36&lt;F36,I36&lt;0,J36&lt;I36,K36&lt;J36),"错误","OK"))</x:f>
      </x:c>
      <x:c r="R36" s="40"/>
    </x:row>
    <x:row r="37" ht="18" customHeight="1">
      <x:c r="A37" s="43"/>
      <x:c r="B37" s="43"/>
      <x:c r="C37" s="43"/>
      <x:c r="D37" s="43"/>
      <x:c r="E37" s="43"/>
      <x:c r="F37" s="81"/>
      <x:c r="G37" s="81"/>
      <x:c r="H37" s="43"/>
      <x:c r="I37" s="106"/>
      <x:c r="J37" s="106"/>
      <x:c r="K37" s="106"/>
      <x:c r="L37" s="43"/>
      <x:c r="M37" s="43"/>
      <x:c r="N37" s="93"/>
      <x:c r="O37" s="96"/>
      <x:c r="P37" s="43"/>
      <x:c r="Q37" s="49" t="str">
        <x:f>IF(COUNTA(A37:P37)=0,"",IF(OR(F37&lt;1,G37&lt;F37,I37&lt;0,J37&lt;I37,K37&lt;J37),"错误","OK"))</x:f>
      </x:c>
      <x:c r="R37" s="40"/>
    </x:row>
    <x:row r="38" ht="18" customHeight="1">
      <x:c r="A38" s="43"/>
      <x:c r="B38" s="43"/>
      <x:c r="C38" s="43"/>
      <x:c r="D38" s="43"/>
      <x:c r="E38" s="43"/>
      <x:c r="F38" s="81"/>
      <x:c r="G38" s="81"/>
      <x:c r="H38" s="43"/>
      <x:c r="I38" s="106"/>
      <x:c r="J38" s="106"/>
      <x:c r="K38" s="106"/>
      <x:c r="L38" s="43"/>
      <x:c r="M38" s="43"/>
      <x:c r="N38" s="93"/>
      <x:c r="O38" s="96"/>
      <x:c r="P38" s="43"/>
      <x:c r="Q38" s="49" t="str">
        <x:f>IF(COUNTA(A38:P38)=0,"",IF(OR(F38&lt;1,G38&lt;F38,I38&lt;0,J38&lt;I38,K38&lt;J38),"错误","OK"))</x:f>
      </x:c>
      <x:c r="R38" s="40"/>
    </x:row>
    <x:row r="39" ht="18" customHeight="1">
      <x:c r="A39" s="43"/>
      <x:c r="B39" s="43"/>
      <x:c r="C39" s="43"/>
      <x:c r="D39" s="43"/>
      <x:c r="E39" s="43"/>
      <x:c r="F39" s="81"/>
      <x:c r="G39" s="81"/>
      <x:c r="H39" s="43"/>
      <x:c r="I39" s="106"/>
      <x:c r="J39" s="106"/>
      <x:c r="K39" s="106"/>
      <x:c r="L39" s="43"/>
      <x:c r="M39" s="43"/>
      <x:c r="N39" s="93"/>
      <x:c r="O39" s="96"/>
      <x:c r="P39" s="43"/>
      <x:c r="Q39" s="49" t="str">
        <x:f>IF(COUNTA(A39:P39)=0,"",IF(OR(F39&lt;1,G39&lt;F39,I39&lt;0,J39&lt;I39,K39&lt;J39),"错误","OK"))</x:f>
      </x:c>
      <x:c r="R39" s="40"/>
    </x:row>
    <x:row r="40" ht="18" customHeight="1">
      <x:c r="A40" s="43"/>
      <x:c r="B40" s="43"/>
      <x:c r="C40" s="43"/>
      <x:c r="D40" s="43"/>
      <x:c r="E40" s="43"/>
      <x:c r="F40" s="81"/>
      <x:c r="G40" s="81"/>
      <x:c r="H40" s="43"/>
      <x:c r="I40" s="106"/>
      <x:c r="J40" s="106"/>
      <x:c r="K40" s="106"/>
      <x:c r="L40" s="43"/>
      <x:c r="M40" s="43"/>
      <x:c r="N40" s="93"/>
      <x:c r="O40" s="96"/>
      <x:c r="P40" s="43"/>
      <x:c r="Q40" s="49" t="str">
        <x:f>IF(COUNTA(A40:P40)=0,"",IF(OR(F40&lt;1,G40&lt;F40,I40&lt;0,J40&lt;I40,K40&lt;J40),"错误","OK"))</x:f>
      </x:c>
      <x:c r="R40" s="40"/>
    </x:row>
    <x:row r="41" ht="18" customHeight="1">
      <x:c r="A41" s="43"/>
      <x:c r="B41" s="43"/>
      <x:c r="C41" s="43"/>
      <x:c r="D41" s="43"/>
      <x:c r="E41" s="43"/>
      <x:c r="F41" s="81"/>
      <x:c r="G41" s="81"/>
      <x:c r="H41" s="43"/>
      <x:c r="I41" s="106"/>
      <x:c r="J41" s="106"/>
      <x:c r="K41" s="106"/>
      <x:c r="L41" s="43"/>
      <x:c r="M41" s="43"/>
      <x:c r="N41" s="93"/>
      <x:c r="O41" s="96"/>
      <x:c r="P41" s="43"/>
      <x:c r="Q41" s="49" t="str">
        <x:f>IF(COUNTA(A41:P41)=0,"",IF(OR(F41&lt;1,G41&lt;F41,I41&lt;0,J41&lt;I41,K41&lt;J41),"错误","OK"))</x:f>
      </x:c>
      <x:c r="R41" s="40"/>
    </x:row>
    <x:row r="42" ht="18" customHeight="1">
      <x:c r="A42" s="43"/>
      <x:c r="B42" s="43"/>
      <x:c r="C42" s="43"/>
      <x:c r="D42" s="43"/>
      <x:c r="E42" s="43"/>
      <x:c r="F42" s="81"/>
      <x:c r="G42" s="81"/>
      <x:c r="H42" s="43"/>
      <x:c r="I42" s="106"/>
      <x:c r="J42" s="106"/>
      <x:c r="K42" s="106"/>
      <x:c r="L42" s="43"/>
      <x:c r="M42" s="43"/>
      <x:c r="N42" s="93"/>
      <x:c r="O42" s="96"/>
      <x:c r="P42" s="43"/>
      <x:c r="Q42" s="49" t="str">
        <x:f>IF(COUNTA(A42:P42)=0,"",IF(OR(F42&lt;1,G42&lt;F42,I42&lt;0,J42&lt;I42,K42&lt;J42),"错误","OK"))</x:f>
      </x:c>
      <x:c r="R42" s="40"/>
    </x:row>
    <x:row r="43" ht="18" customHeight="1">
      <x:c r="A43" s="43"/>
      <x:c r="B43" s="43"/>
      <x:c r="C43" s="43"/>
      <x:c r="D43" s="43"/>
      <x:c r="E43" s="43"/>
      <x:c r="F43" s="81"/>
      <x:c r="G43" s="81"/>
      <x:c r="H43" s="43"/>
      <x:c r="I43" s="106"/>
      <x:c r="J43" s="106"/>
      <x:c r="K43" s="106"/>
      <x:c r="L43" s="43"/>
      <x:c r="M43" s="43"/>
      <x:c r="N43" s="93"/>
      <x:c r="O43" s="96"/>
      <x:c r="P43" s="43"/>
      <x:c r="Q43" s="49" t="str">
        <x:f>IF(COUNTA(A43:P43)=0,"",IF(OR(F43&lt;1,G43&lt;F43,I43&lt;0,J43&lt;I43,K43&lt;J43),"错误","OK"))</x:f>
      </x:c>
      <x:c r="R43" s="40"/>
    </x:row>
    <x:row r="44" ht="18" customHeight="1">
      <x:c r="A44" s="43"/>
      <x:c r="B44" s="43"/>
      <x:c r="C44" s="43"/>
      <x:c r="D44" s="43"/>
      <x:c r="E44" s="43"/>
      <x:c r="F44" s="81"/>
      <x:c r="G44" s="81"/>
      <x:c r="H44" s="43"/>
      <x:c r="I44" s="106"/>
      <x:c r="J44" s="106"/>
      <x:c r="K44" s="106"/>
      <x:c r="L44" s="43"/>
      <x:c r="M44" s="43"/>
      <x:c r="N44" s="93"/>
      <x:c r="O44" s="96"/>
      <x:c r="P44" s="43"/>
      <x:c r="Q44" s="49" t="str">
        <x:f>IF(COUNTA(A44:P44)=0,"",IF(OR(F44&lt;1,G44&lt;F44,I44&lt;0,J44&lt;I44,K44&lt;J44),"错误","OK"))</x:f>
      </x:c>
      <x:c r="R44" s="40"/>
    </x:row>
    <x:row r="45" ht="18" customHeight="1">
      <x:c r="A45" s="43"/>
      <x:c r="B45" s="43"/>
      <x:c r="C45" s="43"/>
      <x:c r="D45" s="43"/>
      <x:c r="E45" s="43"/>
      <x:c r="F45" s="81"/>
      <x:c r="G45" s="81"/>
      <x:c r="H45" s="43"/>
      <x:c r="I45" s="106"/>
      <x:c r="J45" s="106"/>
      <x:c r="K45" s="106"/>
      <x:c r="L45" s="43"/>
      <x:c r="M45" s="43"/>
      <x:c r="N45" s="93"/>
      <x:c r="O45" s="96"/>
      <x:c r="P45" s="43"/>
      <x:c r="Q45" s="49" t="str">
        <x:f>IF(COUNTA(A45:P45)=0,"",IF(OR(F45&lt;1,G45&lt;F45,I45&lt;0,J45&lt;I45,K45&lt;J45),"错误","OK"))</x:f>
      </x:c>
      <x:c r="R45" s="40"/>
    </x:row>
    <x:row r="46" ht="18" customHeight="1">
      <x:c r="A46" s="43"/>
      <x:c r="B46" s="43"/>
      <x:c r="C46" s="43"/>
      <x:c r="D46" s="43"/>
      <x:c r="E46" s="43"/>
      <x:c r="F46" s="81"/>
      <x:c r="G46" s="81"/>
      <x:c r="H46" s="43"/>
      <x:c r="I46" s="106"/>
      <x:c r="J46" s="106"/>
      <x:c r="K46" s="106"/>
      <x:c r="L46" s="43"/>
      <x:c r="M46" s="43"/>
      <x:c r="N46" s="93"/>
      <x:c r="O46" s="96"/>
      <x:c r="P46" s="43"/>
      <x:c r="Q46" s="49" t="str">
        <x:f>IF(COUNTA(A46:P46)=0,"",IF(OR(F46&lt;1,G46&lt;F46,I46&lt;0,J46&lt;I46,K46&lt;J46),"错误","OK"))</x:f>
      </x:c>
      <x:c r="R46" s="40"/>
    </x:row>
    <x:row r="47" ht="18" customHeight="1">
      <x:c r="A47" s="43"/>
      <x:c r="B47" s="43"/>
      <x:c r="C47" s="43"/>
      <x:c r="D47" s="43"/>
      <x:c r="E47" s="43"/>
      <x:c r="F47" s="81"/>
      <x:c r="G47" s="81"/>
      <x:c r="H47" s="43"/>
      <x:c r="I47" s="106"/>
      <x:c r="J47" s="106"/>
      <x:c r="K47" s="106"/>
      <x:c r="L47" s="43"/>
      <x:c r="M47" s="43"/>
      <x:c r="N47" s="93"/>
      <x:c r="O47" s="96"/>
      <x:c r="P47" s="43"/>
      <x:c r="Q47" s="49" t="str">
        <x:f>IF(COUNTA(A47:P47)=0,"",IF(OR(F47&lt;1,G47&lt;F47,I47&lt;0,J47&lt;I47,K47&lt;J47),"错误","OK"))</x:f>
      </x:c>
      <x:c r="R47" s="40"/>
    </x:row>
    <x:row r="48" ht="18" customHeight="1">
      <x:c r="A48" s="43"/>
      <x:c r="B48" s="43"/>
      <x:c r="C48" s="43"/>
      <x:c r="D48" s="43"/>
      <x:c r="E48" s="43"/>
      <x:c r="F48" s="81"/>
      <x:c r="G48" s="81"/>
      <x:c r="H48" s="43"/>
      <x:c r="I48" s="106"/>
      <x:c r="J48" s="106"/>
      <x:c r="K48" s="106"/>
      <x:c r="L48" s="43"/>
      <x:c r="M48" s="43"/>
      <x:c r="N48" s="93"/>
      <x:c r="O48" s="96"/>
      <x:c r="P48" s="43"/>
      <x:c r="Q48" s="49" t="str">
        <x:f>IF(COUNTA(A48:P48)=0,"",IF(OR(F48&lt;1,G48&lt;F48,I48&lt;0,J48&lt;I48,K48&lt;J48),"错误","OK"))</x:f>
      </x:c>
      <x:c r="R48" s="40"/>
    </x:row>
    <x:row r="49" ht="18" customHeight="1">
      <x:c r="A49" s="43"/>
      <x:c r="B49" s="43"/>
      <x:c r="C49" s="43"/>
      <x:c r="D49" s="43"/>
      <x:c r="E49" s="43"/>
      <x:c r="F49" s="81"/>
      <x:c r="G49" s="81"/>
      <x:c r="H49" s="43"/>
      <x:c r="I49" s="106"/>
      <x:c r="J49" s="106"/>
      <x:c r="K49" s="106"/>
      <x:c r="L49" s="43"/>
      <x:c r="M49" s="43"/>
      <x:c r="N49" s="93"/>
      <x:c r="O49" s="96"/>
      <x:c r="P49" s="43"/>
      <x:c r="Q49" s="49" t="str">
        <x:f>IF(COUNTA(A49:P49)=0,"",IF(OR(F49&lt;1,G49&lt;F49,I49&lt;0,J49&lt;I49,K49&lt;J49),"错误","OK"))</x:f>
      </x:c>
      <x:c r="R49" s="40"/>
    </x:row>
    <x:row r="50" ht="18" customHeight="1">
      <x:c r="A50" s="43"/>
      <x:c r="B50" s="43"/>
      <x:c r="C50" s="43"/>
      <x:c r="D50" s="43"/>
      <x:c r="E50" s="43"/>
      <x:c r="F50" s="81"/>
      <x:c r="G50" s="81"/>
      <x:c r="H50" s="43"/>
      <x:c r="I50" s="106"/>
      <x:c r="J50" s="106"/>
      <x:c r="K50" s="106"/>
      <x:c r="L50" s="43"/>
      <x:c r="M50" s="43"/>
      <x:c r="N50" s="93"/>
      <x:c r="O50" s="96"/>
      <x:c r="P50" s="43"/>
      <x:c r="Q50" s="49" t="str">
        <x:f>IF(COUNTA(A50:P50)=0,"",IF(OR(F50&lt;1,G50&lt;F50,I50&lt;0,J50&lt;I50,K50&lt;J50),"错误","OK"))</x:f>
      </x:c>
      <x:c r="R50" s="40"/>
    </x:row>
    <x:row r="51" ht="18" customHeight="1">
      <x:c r="A51" s="43"/>
      <x:c r="B51" s="43"/>
      <x:c r="C51" s="43"/>
      <x:c r="D51" s="43"/>
      <x:c r="E51" s="43"/>
      <x:c r="F51" s="81"/>
      <x:c r="G51" s="81"/>
      <x:c r="H51" s="43"/>
      <x:c r="I51" s="106"/>
      <x:c r="J51" s="106"/>
      <x:c r="K51" s="106"/>
      <x:c r="L51" s="43"/>
      <x:c r="M51" s="43"/>
      <x:c r="N51" s="93"/>
      <x:c r="O51" s="96"/>
      <x:c r="P51" s="43"/>
      <x:c r="Q51" s="49" t="str">
        <x:f>IF(COUNTA(A51:P51)=0,"",IF(OR(F51&lt;1,G51&lt;F51,I51&lt;0,J51&lt;I51,K51&lt;J51),"错误","OK"))</x:f>
      </x:c>
      <x:c r="R51" s="40"/>
    </x:row>
    <x:row r="52" ht="18" customHeight="1">
      <x:c r="A52" s="43"/>
      <x:c r="B52" s="43"/>
      <x:c r="C52" s="43"/>
      <x:c r="D52" s="43"/>
      <x:c r="E52" s="43"/>
      <x:c r="F52" s="81"/>
      <x:c r="G52" s="81"/>
      <x:c r="H52" s="43"/>
      <x:c r="I52" s="106"/>
      <x:c r="J52" s="106"/>
      <x:c r="K52" s="106"/>
      <x:c r="L52" s="43"/>
      <x:c r="M52" s="43"/>
      <x:c r="N52" s="93"/>
      <x:c r="O52" s="96"/>
      <x:c r="P52" s="43"/>
      <x:c r="Q52" s="49" t="str">
        <x:f>IF(COUNTA(A52:P52)=0,"",IF(OR(F52&lt;1,G52&lt;F52,I52&lt;0,J52&lt;I52,K52&lt;J52),"错误","OK"))</x:f>
      </x:c>
      <x:c r="R52" s="40"/>
    </x:row>
    <x:row r="53" ht="18" customHeight="1">
      <x:c r="A53" s="43"/>
      <x:c r="B53" s="43"/>
      <x:c r="C53" s="43"/>
      <x:c r="D53" s="43"/>
      <x:c r="E53" s="43"/>
      <x:c r="F53" s="81"/>
      <x:c r="G53" s="81"/>
      <x:c r="H53" s="43"/>
      <x:c r="I53" s="106"/>
      <x:c r="J53" s="106"/>
      <x:c r="K53" s="106"/>
      <x:c r="L53" s="43"/>
      <x:c r="M53" s="43"/>
      <x:c r="N53" s="93"/>
      <x:c r="O53" s="96"/>
      <x:c r="P53" s="43"/>
      <x:c r="Q53" s="49" t="str">
        <x:f>IF(COUNTA(A53:P53)=0,"",IF(OR(F53&lt;1,G53&lt;F53,I53&lt;0,J53&lt;I53,K53&lt;J53),"错误","OK"))</x:f>
      </x:c>
      <x:c r="R53" s="40"/>
    </x:row>
    <x:row r="54" ht="18" customHeight="1">
      <x:c r="A54" s="43"/>
      <x:c r="B54" s="43"/>
      <x:c r="C54" s="43"/>
      <x:c r="D54" s="43"/>
      <x:c r="E54" s="43"/>
      <x:c r="F54" s="81"/>
      <x:c r="G54" s="81"/>
      <x:c r="H54" s="43"/>
      <x:c r="I54" s="106"/>
      <x:c r="J54" s="106"/>
      <x:c r="K54" s="106"/>
      <x:c r="L54" s="43"/>
      <x:c r="M54" s="43"/>
      <x:c r="N54" s="93"/>
      <x:c r="O54" s="96"/>
      <x:c r="P54" s="43"/>
      <x:c r="Q54" s="49" t="str">
        <x:f>IF(COUNTA(A54:P54)=0,"",IF(OR(F54&lt;1,G54&lt;F54,I54&lt;0,J54&lt;I54,K54&lt;J54),"错误","OK"))</x:f>
      </x:c>
      <x:c r="R54" s="40"/>
    </x:row>
    <x:row r="55" ht="18" customHeight="1">
      <x:c r="A55" s="43"/>
      <x:c r="B55" s="43"/>
      <x:c r="C55" s="43"/>
      <x:c r="D55" s="43"/>
      <x:c r="E55" s="43"/>
      <x:c r="F55" s="81"/>
      <x:c r="G55" s="81"/>
      <x:c r="H55" s="43"/>
      <x:c r="I55" s="106"/>
      <x:c r="J55" s="106"/>
      <x:c r="K55" s="106"/>
      <x:c r="L55" s="43"/>
      <x:c r="M55" s="43"/>
      <x:c r="N55" s="93"/>
      <x:c r="O55" s="96"/>
      <x:c r="P55" s="43"/>
      <x:c r="Q55" s="49" t="str">
        <x:f>IF(COUNTA(A55:P55)=0,"",IF(OR(F55&lt;1,G55&lt;F55,I55&lt;0,J55&lt;I55,K55&lt;J55),"错误","OK"))</x:f>
      </x:c>
      <x:c r="R55" s="40"/>
    </x:row>
    <x:row r="56" ht="18" customHeight="1">
      <x:c r="A56" s="43"/>
      <x:c r="B56" s="43"/>
      <x:c r="C56" s="43"/>
      <x:c r="D56" s="43"/>
      <x:c r="E56" s="43"/>
      <x:c r="F56" s="81"/>
      <x:c r="G56" s="81"/>
      <x:c r="H56" s="43"/>
      <x:c r="I56" s="106"/>
      <x:c r="J56" s="106"/>
      <x:c r="K56" s="106"/>
      <x:c r="L56" s="43"/>
      <x:c r="M56" s="43"/>
      <x:c r="N56" s="93"/>
      <x:c r="O56" s="96"/>
      <x:c r="P56" s="43"/>
      <x:c r="Q56" s="49" t="str">
        <x:f>IF(COUNTA(A56:P56)=0,"",IF(OR(F56&lt;1,G56&lt;F56,I56&lt;0,J56&lt;I56,K56&lt;J56),"错误","OK"))</x:f>
      </x:c>
      <x:c r="R56" s="40"/>
    </x:row>
    <x:row r="57" ht="18" customHeight="1">
      <x:c r="A57" s="43"/>
      <x:c r="B57" s="43"/>
      <x:c r="C57" s="43"/>
      <x:c r="D57" s="43"/>
      <x:c r="E57" s="43"/>
      <x:c r="F57" s="81"/>
      <x:c r="G57" s="81"/>
      <x:c r="H57" s="43"/>
      <x:c r="I57" s="106"/>
      <x:c r="J57" s="106"/>
      <x:c r="K57" s="106"/>
      <x:c r="L57" s="43"/>
      <x:c r="M57" s="43"/>
      <x:c r="N57" s="93"/>
      <x:c r="O57" s="96"/>
      <x:c r="P57" s="43"/>
      <x:c r="Q57" s="49" t="str">
        <x:f>IF(COUNTA(A57:P57)=0,"",IF(OR(F57&lt;1,G57&lt;F57,I57&lt;0,J57&lt;I57,K57&lt;J57),"错误","OK"))</x:f>
      </x:c>
      <x:c r="R57" s="40"/>
    </x:row>
    <x:row r="58" ht="18" customHeight="1">
      <x:c r="A58" s="43"/>
      <x:c r="B58" s="43"/>
      <x:c r="C58" s="43"/>
      <x:c r="D58" s="43"/>
      <x:c r="E58" s="43"/>
      <x:c r="F58" s="81"/>
      <x:c r="G58" s="81"/>
      <x:c r="H58" s="43"/>
      <x:c r="I58" s="106"/>
      <x:c r="J58" s="106"/>
      <x:c r="K58" s="106"/>
      <x:c r="L58" s="43"/>
      <x:c r="M58" s="43"/>
      <x:c r="N58" s="93"/>
      <x:c r="O58" s="96"/>
      <x:c r="P58" s="43"/>
      <x:c r="Q58" s="49" t="str">
        <x:f>IF(COUNTA(A58:P58)=0,"",IF(OR(F58&lt;1,G58&lt;F58,I58&lt;0,J58&lt;I58,K58&lt;J58),"错误","OK"))</x:f>
      </x:c>
      <x:c r="R58" s="40"/>
    </x:row>
    <x:row r="59" ht="18" customHeight="1">
      <x:c r="A59" s="43"/>
      <x:c r="B59" s="43"/>
      <x:c r="C59" s="43"/>
      <x:c r="D59" s="43"/>
      <x:c r="E59" s="43"/>
      <x:c r="F59" s="81"/>
      <x:c r="G59" s="81"/>
      <x:c r="H59" s="43"/>
      <x:c r="I59" s="106"/>
      <x:c r="J59" s="106"/>
      <x:c r="K59" s="106"/>
      <x:c r="L59" s="43"/>
      <x:c r="M59" s="43"/>
      <x:c r="N59" s="93"/>
      <x:c r="O59" s="96"/>
      <x:c r="P59" s="43"/>
      <x:c r="Q59" s="49" t="str">
        <x:f>IF(COUNTA(A59:P59)=0,"",IF(OR(F59&lt;1,G59&lt;F59,I59&lt;0,J59&lt;I59,K59&lt;J59),"错误","OK"))</x:f>
      </x:c>
      <x:c r="R59" s="40"/>
    </x:row>
    <x:row r="60" ht="18" customHeight="1">
      <x:c r="A60" s="43"/>
      <x:c r="B60" s="43"/>
      <x:c r="C60" s="43"/>
      <x:c r="D60" s="43"/>
      <x:c r="E60" s="43"/>
      <x:c r="F60" s="81"/>
      <x:c r="G60" s="81"/>
      <x:c r="H60" s="43"/>
      <x:c r="I60" s="106"/>
      <x:c r="J60" s="106"/>
      <x:c r="K60" s="106"/>
      <x:c r="L60" s="43"/>
      <x:c r="M60" s="43"/>
      <x:c r="N60" s="93"/>
      <x:c r="O60" s="96"/>
      <x:c r="P60" s="43"/>
      <x:c r="Q60" s="49" t="str">
        <x:f>IF(COUNTA(A60:P60)=0,"",IF(OR(F60&lt;1,G60&lt;F60,I60&lt;0,J60&lt;I60,K60&lt;J60),"错误","OK"))</x:f>
      </x:c>
      <x:c r="R60" s="40"/>
    </x:row>
    <x:row r="61" ht="18" customHeight="1">
      <x:c r="A61" s="43"/>
      <x:c r="B61" s="43"/>
      <x:c r="C61" s="43"/>
      <x:c r="D61" s="43"/>
      <x:c r="E61" s="43"/>
      <x:c r="F61" s="81"/>
      <x:c r="G61" s="81"/>
      <x:c r="H61" s="43"/>
      <x:c r="I61" s="106"/>
      <x:c r="J61" s="106"/>
      <x:c r="K61" s="106"/>
      <x:c r="L61" s="43"/>
      <x:c r="M61" s="43"/>
      <x:c r="N61" s="93"/>
      <x:c r="O61" s="96"/>
      <x:c r="P61" s="43"/>
      <x:c r="Q61" s="49" t="str">
        <x:f>IF(COUNTA(A61:P61)=0,"",IF(OR(F61&lt;1,G61&lt;F61,I61&lt;0,J61&lt;I61,K61&lt;J61),"错误","OK"))</x:f>
      </x:c>
      <x:c r="R61" s="40"/>
    </x:row>
    <x:row r="62" ht="18" customHeight="1">
      <x:c r="A62" s="43"/>
      <x:c r="B62" s="43"/>
      <x:c r="C62" s="43"/>
      <x:c r="D62" s="43"/>
      <x:c r="E62" s="43"/>
      <x:c r="F62" s="81"/>
      <x:c r="G62" s="81"/>
      <x:c r="H62" s="43"/>
      <x:c r="I62" s="106"/>
      <x:c r="J62" s="106"/>
      <x:c r="K62" s="106"/>
      <x:c r="L62" s="43"/>
      <x:c r="M62" s="43"/>
      <x:c r="N62" s="93"/>
      <x:c r="O62" s="96"/>
      <x:c r="P62" s="43"/>
      <x:c r="Q62" s="49" t="str">
        <x:f>IF(COUNTA(A62:P62)=0,"",IF(OR(F62&lt;1,G62&lt;F62,I62&lt;0,J62&lt;I62,K62&lt;J62),"错误","OK"))</x:f>
      </x:c>
      <x:c r="R62" s="40"/>
    </x:row>
    <x:row r="63" ht="18" customHeight="1">
      <x:c r="A63" s="43"/>
      <x:c r="B63" s="43"/>
      <x:c r="C63" s="43"/>
      <x:c r="D63" s="43"/>
      <x:c r="E63" s="43"/>
      <x:c r="F63" s="81"/>
      <x:c r="G63" s="81"/>
      <x:c r="H63" s="43"/>
      <x:c r="I63" s="106"/>
      <x:c r="J63" s="106"/>
      <x:c r="K63" s="106"/>
      <x:c r="L63" s="43"/>
      <x:c r="M63" s="43"/>
      <x:c r="N63" s="93"/>
      <x:c r="O63" s="96"/>
      <x:c r="P63" s="43"/>
      <x:c r="Q63" s="49" t="str">
        <x:f>IF(COUNTA(A63:P63)=0,"",IF(OR(F63&lt;1,G63&lt;F63,I63&lt;0,J63&lt;I63,K63&lt;J63),"错误","OK"))</x:f>
      </x:c>
      <x:c r="R63" s="40"/>
    </x:row>
    <x:row r="64" ht="18" customHeight="1">
      <x:c r="A64" s="43"/>
      <x:c r="B64" s="43"/>
      <x:c r="C64" s="43"/>
      <x:c r="D64" s="43"/>
      <x:c r="E64" s="43"/>
      <x:c r="F64" s="81"/>
      <x:c r="G64" s="81"/>
      <x:c r="H64" s="43"/>
      <x:c r="I64" s="106"/>
      <x:c r="J64" s="106"/>
      <x:c r="K64" s="106"/>
      <x:c r="L64" s="43"/>
      <x:c r="M64" s="43"/>
      <x:c r="N64" s="93"/>
      <x:c r="O64" s="96"/>
      <x:c r="P64" s="43"/>
      <x:c r="Q64" s="49" t="str">
        <x:f>IF(COUNTA(A64:P64)=0,"",IF(OR(F64&lt;1,G64&lt;F64,I64&lt;0,J64&lt;I64,K64&lt;J64),"错误","OK"))</x:f>
      </x:c>
      <x:c r="R64" s="40"/>
    </x:row>
    <x:row r="65" ht="18" customHeight="1">
      <x:c r="A65" s="43"/>
      <x:c r="B65" s="43"/>
      <x:c r="C65" s="43"/>
      <x:c r="D65" s="43"/>
      <x:c r="E65" s="43"/>
      <x:c r="F65" s="81"/>
      <x:c r="G65" s="81"/>
      <x:c r="H65" s="43"/>
      <x:c r="I65" s="106"/>
      <x:c r="J65" s="106"/>
      <x:c r="K65" s="106"/>
      <x:c r="L65" s="43"/>
      <x:c r="M65" s="43"/>
      <x:c r="N65" s="93"/>
      <x:c r="O65" s="96"/>
      <x:c r="P65" s="43"/>
      <x:c r="Q65" s="49" t="str">
        <x:f>IF(COUNTA(A65:P65)=0,"",IF(OR(F65&lt;1,G65&lt;F65,I65&lt;0,J65&lt;I65,K65&lt;J65),"错误","OK"))</x:f>
      </x:c>
      <x:c r="R65" s="40"/>
    </x:row>
    <x:row r="66" ht="18" customHeight="1">
      <x:c r="A66" s="44"/>
      <x:c r="B66" s="44"/>
      <x:c r="C66" s="44"/>
      <x:c r="D66" s="44"/>
      <x:c r="E66" s="44"/>
      <x:c r="F66" s="85"/>
      <x:c r="G66" s="85"/>
      <x:c r="H66" s="44"/>
      <x:c r="I66" s="107"/>
      <x:c r="J66" s="107"/>
      <x:c r="K66" s="107"/>
      <x:c r="L66" s="44"/>
      <x:c r="M66" s="44"/>
      <x:c r="N66" s="94"/>
      <x:c r="O66" s="97"/>
      <x:c r="P66" s="44"/>
      <x:c r="Q66" s="49" t="str">
        <x:f>IF(COUNTA(A66:P66)=0,"",IF(OR(F66&lt;1,G66&lt;F66,I66&lt;0,J66&lt;I66,K66&lt;J66),"错误","OK"))</x:f>
      </x:c>
      <x:c r="R66" s="41"/>
    </x:row>
  </x:sheetData>
  <x:mergeCells>
    <x:mergeCell ref="A1:R1"/>
    <x:mergeCell ref="A2:R2"/>
    <x:mergeCell ref="A3:R4"/>
  </x:mergeCells>
  <x:conditionalFormatting sqref="P7:P66">
    <x:cfRule type="containsText" dxfId="37" priority="1" operator="containsText" text="启用"/>
    <x:cfRule type="containsText" dxfId="38" priority="2" operator="containsText" text="已发布"/>
    <x:cfRule type="containsText" dxfId="39" priority="3" operator="containsText" text="草稿"/>
    <x:cfRule type="containsText" dxfId="40" priority="4" operator="containsText" text="停用"/>
  </x:conditionalFormatting>
  <x:conditionalFormatting sqref="Q7:Q66">
    <x:cfRule type="containsText" dxfId="41" priority="5" operator="containsText" text="OK"/>
    <x:cfRule type="containsText" dxfId="42" priority="6" operator="containsText" text="通过"/>
    <x:cfRule type="containsText" dxfId="43" priority="7" operator="containsText" text="待填写"/>
    <x:cfRule type="containsText" dxfId="44" priority="8" operator="containsText" text="待修正"/>
    <x:cfRule type="containsText" dxfId="45" priority="9" operator="containsText" text="错误"/>
  </x:conditionalFormatting>
  <x:conditionalFormatting sqref="A7:A66">
    <x:cfRule type="duplicateValues" dxfId="46" priority="10"/>
  </x:conditionalFormatting>
  <x:dataValidations count="7">
    <x:dataValidation type="list" sqref="C7:C66">
      <x:formula1>'国家地区'!$A$7:$A$56</x:formula1>
    </x:dataValidation>
    <x:dataValidation type="list" sqref="D7:D66">
      <x:formula1>"ALL,七麦,点点"</x:formula1>
    </x:dataValidation>
    <x:dataValidation type="list" sqref="E7:E66">
      <x:formula1>"畅销总榜,游戏畅销榜,免费总榜,付费总榜"</x:formula1>
    </x:dataValidation>
    <x:dataValidation type="whole" operator="between" sqref="F7:G66">
      <x:formula1>1</x:formula1>
      <x:formula2>10000</x:formula2>
    </x:dataValidation>
    <x:dataValidation type="list" sqref="H7:H66">
      <x:formula1>"阶梯,线性"</x:formula1>
    </x:dataValidation>
    <x:dataValidation type="decimal" operator="greaterThanOrEqual" sqref="I7:K66">
      <x:formula1>0</x:formula1>
    </x:dataValidation>
    <x:dataValidation type="list" sqref="P7:P66">
      <x:formula1>"草稿,已发布,停用"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5" hidden="0" customWidth="1"/>
    <x:col min="2" max="2" width="13.75" hidden="0" customWidth="1"/>
    <x:col min="3" max="3" width="13.75" hidden="0" customWidth="1"/>
    <x:col min="4" max="4" width="14.380000114440918" hidden="0" customWidth="1"/>
    <x:col min="5" max="5" width="19.3799991607666" hidden="0" customWidth="1"/>
    <x:col min="6" max="6" width="21.25" hidden="0" customWidth="1"/>
    <x:col min="7" max="7" width="32.5" hidden="0" customWidth="1"/>
    <x:col min="8" max="8" width="13.130000114440918" hidden="0" customWidth="1"/>
    <x:col min="9" max="9" width="13.130000114440918" hidden="0" customWidth="1"/>
    <x:col min="10" max="10" width="35" hidden="0" customWidth="1"/>
  </x:cols>
  <x:sheetData>
    <x:row r="1" ht="28.5" customHeight="1">
      <x:c r="A1" s="3" t="str">
        <x:v>汇率配置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19.5" customHeight="1">
      <x:c r="A2" s="6" t="str">
        <x:v>各国原币统一换算为人民币，并冻结历史汇率</x:v>
      </x:c>
      <x:c r="B2" s="6"/>
      <x:c r="C2" s="6"/>
      <x:c r="D2" s="6"/>
      <x:c r="E2" s="6"/>
      <x:c r="F2" s="6"/>
      <x:c r="G2" s="6"/>
      <x:c r="H2" s="6"/>
      <x:c r="I2" s="6"/>
      <x:c r="J2" s="6"/>
    </x:row>
    <x:row r="3" ht="21" customHeight="1">
      <x:c r="A3" s="21" t="str">
        <x:v>按榜单日期选取汇率。模板仅预填 CNY/CNY=1；其他币种等待系统接入汇率来源或按需要填写。</x:v>
      </x:c>
      <x:c r="B3" s="22"/>
      <x:c r="C3" s="22"/>
      <x:c r="D3" s="22"/>
      <x:c r="E3" s="22"/>
      <x:c r="F3" s="22"/>
      <x:c r="G3" s="22"/>
      <x:c r="H3" s="22"/>
      <x:c r="I3" s="22"/>
      <x:c r="J3" s="23"/>
    </x:row>
    <x:row r="4" ht="21" customHeight="1">
      <x:c r="A4" s="24"/>
      <x:c r="B4" s="25"/>
      <x:c r="C4" s="25"/>
      <x:c r="D4" s="25"/>
      <x:c r="E4" s="25"/>
      <x:c r="F4" s="25"/>
      <x:c r="G4" s="25"/>
      <x:c r="H4" s="25"/>
      <x:c r="I4" s="25"/>
      <x:c r="J4" s="26"/>
    </x:row>
    <x:row r="5">
      <x:c r="A5" s="130"/>
      <x:c r="B5" s="130"/>
      <x:c r="C5" s="130"/>
      <x:c r="D5" s="130"/>
      <x:c r="E5" s="130"/>
      <x:c r="F5" s="130"/>
      <x:c r="G5" s="130"/>
      <x:c r="H5" s="130"/>
      <x:c r="I5" s="130"/>
      <x:c r="J5" s="130"/>
    </x:row>
    <x:row r="6" ht="43.5" customHeight="1">
      <x:c r="A6" s="31" t="str">
        <x:v>fx_id
汇率ID *</x:v>
      </x:c>
      <x:c r="B6" s="31" t="str">
        <x:v>currency_code
原币代码 *</x:v>
      </x:c>
      <x:c r="C6" s="31" t="str">
        <x:v>base_currency
汇总币种 *</x:v>
      </x:c>
      <x:c r="D6" s="31" t="str">
        <x:v>rate_date
汇率日期 *</x:v>
      </x:c>
      <x:c r="E6" s="31" t="str">
        <x:v>cny_per_unit
每单位原币折人民币 *</x:v>
      </x:c>
      <x:c r="F6" s="31" t="str">
        <x:v>source_name
汇率来源 *</x:v>
      </x:c>
      <x:c r="G6" s="31" t="str">
        <x:v>source_url
来源链接</x:v>
      </x:c>
      <x:c r="H6" s="31" t="str">
        <x:v>config_version
配置版本 *</x:v>
      </x:c>
      <x:c r="I6" s="31" t="str">
        <x:v>publish_status
发布状态 *</x:v>
      </x:c>
      <x:c r="J6" s="31" t="str">
        <x:v>notes
备注</x:v>
      </x:c>
    </x:row>
    <x:row r="7" ht="18" customHeight="1">
      <x:c r="A7" s="42" t="str">
        <x:v>fx_cny_base</x:v>
      </x:c>
      <x:c r="B7" s="86" t="str">
        <x:v>CNY</x:v>
      </x:c>
      <x:c r="C7" s="86" t="str">
        <x:v>CNY</x:v>
      </x:c>
      <x:c r="D7" s="92" t="n">
        <x:v>46229</x:v>
      </x:c>
      <x:c r="E7" s="108" t="n">
        <x:v>1</x:v>
      </x:c>
      <x:c r="F7" s="42" t="str">
        <x:v>固定恒等</x:v>
      </x:c>
      <x:c r="G7" s="39" t="str"/>
      <x:c r="H7" s="42" t="str">
        <x:v>v1</x:v>
      </x:c>
      <x:c r="I7" s="42" t="str">
        <x:v>已发布</x:v>
      </x:c>
      <x:c r="J7" s="39" t="str">
        <x:v>人民币对人民币恒为 1</x:v>
      </x:c>
    </x:row>
    <x:row r="8" ht="18" customHeight="1">
      <x:c r="A8" s="43"/>
      <x:c r="B8" s="87"/>
      <x:c r="C8" s="87"/>
      <x:c r="D8" s="93"/>
      <x:c r="E8" s="109"/>
      <x:c r="F8" s="43"/>
      <x:c r="G8" s="40"/>
      <x:c r="H8" s="43"/>
      <x:c r="I8" s="43"/>
      <x:c r="J8" s="40"/>
    </x:row>
    <x:row r="9" ht="18" customHeight="1">
      <x:c r="A9" s="43"/>
      <x:c r="B9" s="87"/>
      <x:c r="C9" s="87"/>
      <x:c r="D9" s="93"/>
      <x:c r="E9" s="109"/>
      <x:c r="F9" s="43"/>
      <x:c r="G9" s="40"/>
      <x:c r="H9" s="43"/>
      <x:c r="I9" s="43"/>
      <x:c r="J9" s="40"/>
    </x:row>
    <x:row r="10" ht="18" customHeight="1">
      <x:c r="A10" s="43"/>
      <x:c r="B10" s="87"/>
      <x:c r="C10" s="87"/>
      <x:c r="D10" s="93"/>
      <x:c r="E10" s="109"/>
      <x:c r="F10" s="43"/>
      <x:c r="G10" s="40"/>
      <x:c r="H10" s="43"/>
      <x:c r="I10" s="43"/>
      <x:c r="J10" s="40"/>
    </x:row>
    <x:row r="11" ht="18" customHeight="1">
      <x:c r="A11" s="43"/>
      <x:c r="B11" s="87"/>
      <x:c r="C11" s="87"/>
      <x:c r="D11" s="93"/>
      <x:c r="E11" s="109"/>
      <x:c r="F11" s="43"/>
      <x:c r="G11" s="40"/>
      <x:c r="H11" s="43"/>
      <x:c r="I11" s="43"/>
      <x:c r="J11" s="40"/>
    </x:row>
    <x:row r="12" ht="18" customHeight="1">
      <x:c r="A12" s="43"/>
      <x:c r="B12" s="87"/>
      <x:c r="C12" s="87"/>
      <x:c r="D12" s="93"/>
      <x:c r="E12" s="109"/>
      <x:c r="F12" s="43"/>
      <x:c r="G12" s="40"/>
      <x:c r="H12" s="43"/>
      <x:c r="I12" s="43"/>
      <x:c r="J12" s="40"/>
    </x:row>
    <x:row r="13" ht="18" customHeight="1">
      <x:c r="A13" s="43"/>
      <x:c r="B13" s="87"/>
      <x:c r="C13" s="87"/>
      <x:c r="D13" s="93"/>
      <x:c r="E13" s="109"/>
      <x:c r="F13" s="43"/>
      <x:c r="G13" s="40"/>
      <x:c r="H13" s="43"/>
      <x:c r="I13" s="43"/>
      <x:c r="J13" s="40"/>
    </x:row>
    <x:row r="14" ht="18" customHeight="1">
      <x:c r="A14" s="43"/>
      <x:c r="B14" s="87"/>
      <x:c r="C14" s="87"/>
      <x:c r="D14" s="93"/>
      <x:c r="E14" s="109"/>
      <x:c r="F14" s="43"/>
      <x:c r="G14" s="40"/>
      <x:c r="H14" s="43"/>
      <x:c r="I14" s="43"/>
      <x:c r="J14" s="40"/>
    </x:row>
    <x:row r="15" ht="18" customHeight="1">
      <x:c r="A15" s="43"/>
      <x:c r="B15" s="87"/>
      <x:c r="C15" s="87"/>
      <x:c r="D15" s="93"/>
      <x:c r="E15" s="109"/>
      <x:c r="F15" s="43"/>
      <x:c r="G15" s="40"/>
      <x:c r="H15" s="43"/>
      <x:c r="I15" s="43"/>
      <x:c r="J15" s="40"/>
    </x:row>
    <x:row r="16" ht="18" customHeight="1">
      <x:c r="A16" s="43"/>
      <x:c r="B16" s="87"/>
      <x:c r="C16" s="87"/>
      <x:c r="D16" s="93"/>
      <x:c r="E16" s="109"/>
      <x:c r="F16" s="43"/>
      <x:c r="G16" s="40"/>
      <x:c r="H16" s="43"/>
      <x:c r="I16" s="43"/>
      <x:c r="J16" s="40"/>
    </x:row>
    <x:row r="17" ht="18" customHeight="1">
      <x:c r="A17" s="43"/>
      <x:c r="B17" s="87"/>
      <x:c r="C17" s="87"/>
      <x:c r="D17" s="93"/>
      <x:c r="E17" s="109"/>
      <x:c r="F17" s="43"/>
      <x:c r="G17" s="40"/>
      <x:c r="H17" s="43"/>
      <x:c r="I17" s="43"/>
      <x:c r="J17" s="40"/>
    </x:row>
    <x:row r="18" ht="18" customHeight="1">
      <x:c r="A18" s="43"/>
      <x:c r="B18" s="87"/>
      <x:c r="C18" s="87"/>
      <x:c r="D18" s="93"/>
      <x:c r="E18" s="109"/>
      <x:c r="F18" s="43"/>
      <x:c r="G18" s="40"/>
      <x:c r="H18" s="43"/>
      <x:c r="I18" s="43"/>
      <x:c r="J18" s="40"/>
    </x:row>
    <x:row r="19" ht="18" customHeight="1">
      <x:c r="A19" s="43"/>
      <x:c r="B19" s="87"/>
      <x:c r="C19" s="87"/>
      <x:c r="D19" s="93"/>
      <x:c r="E19" s="109"/>
      <x:c r="F19" s="43"/>
      <x:c r="G19" s="40"/>
      <x:c r="H19" s="43"/>
      <x:c r="I19" s="43"/>
      <x:c r="J19" s="40"/>
    </x:row>
    <x:row r="20" ht="18" customHeight="1">
      <x:c r="A20" s="43"/>
      <x:c r="B20" s="87"/>
      <x:c r="C20" s="87"/>
      <x:c r="D20" s="93"/>
      <x:c r="E20" s="109"/>
      <x:c r="F20" s="43"/>
      <x:c r="G20" s="40"/>
      <x:c r="H20" s="43"/>
      <x:c r="I20" s="43"/>
      <x:c r="J20" s="40"/>
    </x:row>
    <x:row r="21" ht="18" customHeight="1">
      <x:c r="A21" s="43"/>
      <x:c r="B21" s="87"/>
      <x:c r="C21" s="87"/>
      <x:c r="D21" s="93"/>
      <x:c r="E21" s="109"/>
      <x:c r="F21" s="43"/>
      <x:c r="G21" s="40"/>
      <x:c r="H21" s="43"/>
      <x:c r="I21" s="43"/>
      <x:c r="J21" s="40"/>
    </x:row>
    <x:row r="22" ht="18" customHeight="1">
      <x:c r="A22" s="43"/>
      <x:c r="B22" s="87"/>
      <x:c r="C22" s="87"/>
      <x:c r="D22" s="93"/>
      <x:c r="E22" s="109"/>
      <x:c r="F22" s="43"/>
      <x:c r="G22" s="40"/>
      <x:c r="H22" s="43"/>
      <x:c r="I22" s="43"/>
      <x:c r="J22" s="40"/>
    </x:row>
    <x:row r="23" ht="18" customHeight="1">
      <x:c r="A23" s="43"/>
      <x:c r="B23" s="87"/>
      <x:c r="C23" s="87"/>
      <x:c r="D23" s="93"/>
      <x:c r="E23" s="109"/>
      <x:c r="F23" s="43"/>
      <x:c r="G23" s="40"/>
      <x:c r="H23" s="43"/>
      <x:c r="I23" s="43"/>
      <x:c r="J23" s="40"/>
    </x:row>
    <x:row r="24" ht="18" customHeight="1">
      <x:c r="A24" s="43"/>
      <x:c r="B24" s="87"/>
      <x:c r="C24" s="87"/>
      <x:c r="D24" s="93"/>
      <x:c r="E24" s="109"/>
      <x:c r="F24" s="43"/>
      <x:c r="G24" s="40"/>
      <x:c r="H24" s="43"/>
      <x:c r="I24" s="43"/>
      <x:c r="J24" s="40"/>
    </x:row>
    <x:row r="25" ht="18" customHeight="1">
      <x:c r="A25" s="43"/>
      <x:c r="B25" s="87"/>
      <x:c r="C25" s="87"/>
      <x:c r="D25" s="93"/>
      <x:c r="E25" s="109"/>
      <x:c r="F25" s="43"/>
      <x:c r="G25" s="40"/>
      <x:c r="H25" s="43"/>
      <x:c r="I25" s="43"/>
      <x:c r="J25" s="40"/>
    </x:row>
    <x:row r="26" ht="18" customHeight="1">
      <x:c r="A26" s="43"/>
      <x:c r="B26" s="87"/>
      <x:c r="C26" s="87"/>
      <x:c r="D26" s="93"/>
      <x:c r="E26" s="109"/>
      <x:c r="F26" s="43"/>
      <x:c r="G26" s="40"/>
      <x:c r="H26" s="43"/>
      <x:c r="I26" s="43"/>
      <x:c r="J26" s="40"/>
    </x:row>
    <x:row r="27" ht="18" customHeight="1">
      <x:c r="A27" s="43"/>
      <x:c r="B27" s="87"/>
      <x:c r="C27" s="87"/>
      <x:c r="D27" s="93"/>
      <x:c r="E27" s="109"/>
      <x:c r="F27" s="43"/>
      <x:c r="G27" s="40"/>
      <x:c r="H27" s="43"/>
      <x:c r="I27" s="43"/>
      <x:c r="J27" s="40"/>
    </x:row>
    <x:row r="28" ht="18" customHeight="1">
      <x:c r="A28" s="43"/>
      <x:c r="B28" s="87"/>
      <x:c r="C28" s="87"/>
      <x:c r="D28" s="93"/>
      <x:c r="E28" s="109"/>
      <x:c r="F28" s="43"/>
      <x:c r="G28" s="40"/>
      <x:c r="H28" s="43"/>
      <x:c r="I28" s="43"/>
      <x:c r="J28" s="40"/>
    </x:row>
    <x:row r="29" ht="18" customHeight="1">
      <x:c r="A29" s="43"/>
      <x:c r="B29" s="87"/>
      <x:c r="C29" s="87"/>
      <x:c r="D29" s="93"/>
      <x:c r="E29" s="109"/>
      <x:c r="F29" s="43"/>
      <x:c r="G29" s="40"/>
      <x:c r="H29" s="43"/>
      <x:c r="I29" s="43"/>
      <x:c r="J29" s="40"/>
    </x:row>
    <x:row r="30" ht="18" customHeight="1">
      <x:c r="A30" s="43"/>
      <x:c r="B30" s="87"/>
      <x:c r="C30" s="87"/>
      <x:c r="D30" s="93"/>
      <x:c r="E30" s="109"/>
      <x:c r="F30" s="43"/>
      <x:c r="G30" s="40"/>
      <x:c r="H30" s="43"/>
      <x:c r="I30" s="43"/>
      <x:c r="J30" s="40"/>
    </x:row>
    <x:row r="31" ht="18" customHeight="1">
      <x:c r="A31" s="43"/>
      <x:c r="B31" s="87"/>
      <x:c r="C31" s="87"/>
      <x:c r="D31" s="93"/>
      <x:c r="E31" s="109"/>
      <x:c r="F31" s="43"/>
      <x:c r="G31" s="40"/>
      <x:c r="H31" s="43"/>
      <x:c r="I31" s="43"/>
      <x:c r="J31" s="40"/>
    </x:row>
    <x:row r="32" ht="18" customHeight="1">
      <x:c r="A32" s="43"/>
      <x:c r="B32" s="87"/>
      <x:c r="C32" s="87"/>
      <x:c r="D32" s="93"/>
      <x:c r="E32" s="109"/>
      <x:c r="F32" s="43"/>
      <x:c r="G32" s="40"/>
      <x:c r="H32" s="43"/>
      <x:c r="I32" s="43"/>
      <x:c r="J32" s="40"/>
    </x:row>
    <x:row r="33" ht="18" customHeight="1">
      <x:c r="A33" s="43"/>
      <x:c r="B33" s="87"/>
      <x:c r="C33" s="87"/>
      <x:c r="D33" s="93"/>
      <x:c r="E33" s="109"/>
      <x:c r="F33" s="43"/>
      <x:c r="G33" s="40"/>
      <x:c r="H33" s="43"/>
      <x:c r="I33" s="43"/>
      <x:c r="J33" s="40"/>
    </x:row>
    <x:row r="34" ht="18" customHeight="1">
      <x:c r="A34" s="43"/>
      <x:c r="B34" s="87"/>
      <x:c r="C34" s="87"/>
      <x:c r="D34" s="93"/>
      <x:c r="E34" s="109"/>
      <x:c r="F34" s="43"/>
      <x:c r="G34" s="40"/>
      <x:c r="H34" s="43"/>
      <x:c r="I34" s="43"/>
      <x:c r="J34" s="40"/>
    </x:row>
    <x:row r="35" ht="18" customHeight="1">
      <x:c r="A35" s="43"/>
      <x:c r="B35" s="87"/>
      <x:c r="C35" s="87"/>
      <x:c r="D35" s="93"/>
      <x:c r="E35" s="109"/>
      <x:c r="F35" s="43"/>
      <x:c r="G35" s="40"/>
      <x:c r="H35" s="43"/>
      <x:c r="I35" s="43"/>
      <x:c r="J35" s="40"/>
    </x:row>
    <x:row r="36" ht="18" customHeight="1">
      <x:c r="A36" s="43"/>
      <x:c r="B36" s="87"/>
      <x:c r="C36" s="87"/>
      <x:c r="D36" s="93"/>
      <x:c r="E36" s="109"/>
      <x:c r="F36" s="43"/>
      <x:c r="G36" s="40"/>
      <x:c r="H36" s="43"/>
      <x:c r="I36" s="43"/>
      <x:c r="J36" s="40"/>
    </x:row>
    <x:row r="37" ht="18" customHeight="1">
      <x:c r="A37" s="43"/>
      <x:c r="B37" s="87"/>
      <x:c r="C37" s="87"/>
      <x:c r="D37" s="93"/>
      <x:c r="E37" s="109"/>
      <x:c r="F37" s="43"/>
      <x:c r="G37" s="40"/>
      <x:c r="H37" s="43"/>
      <x:c r="I37" s="43"/>
      <x:c r="J37" s="40"/>
    </x:row>
    <x:row r="38" ht="18" customHeight="1">
      <x:c r="A38" s="43"/>
      <x:c r="B38" s="87"/>
      <x:c r="C38" s="87"/>
      <x:c r="D38" s="93"/>
      <x:c r="E38" s="109"/>
      <x:c r="F38" s="43"/>
      <x:c r="G38" s="40"/>
      <x:c r="H38" s="43"/>
      <x:c r="I38" s="43"/>
      <x:c r="J38" s="40"/>
    </x:row>
    <x:row r="39" ht="18" customHeight="1">
      <x:c r="A39" s="43"/>
      <x:c r="B39" s="87"/>
      <x:c r="C39" s="87"/>
      <x:c r="D39" s="93"/>
      <x:c r="E39" s="109"/>
      <x:c r="F39" s="43"/>
      <x:c r="G39" s="40"/>
      <x:c r="H39" s="43"/>
      <x:c r="I39" s="43"/>
      <x:c r="J39" s="40"/>
    </x:row>
    <x:row r="40" ht="18" customHeight="1">
      <x:c r="A40" s="43"/>
      <x:c r="B40" s="87"/>
      <x:c r="C40" s="87"/>
      <x:c r="D40" s="93"/>
      <x:c r="E40" s="109"/>
      <x:c r="F40" s="43"/>
      <x:c r="G40" s="40"/>
      <x:c r="H40" s="43"/>
      <x:c r="I40" s="43"/>
      <x:c r="J40" s="40"/>
    </x:row>
    <x:row r="41" ht="18" customHeight="1">
      <x:c r="A41" s="43"/>
      <x:c r="B41" s="87"/>
      <x:c r="C41" s="87"/>
      <x:c r="D41" s="93"/>
      <x:c r="E41" s="109"/>
      <x:c r="F41" s="43"/>
      <x:c r="G41" s="40"/>
      <x:c r="H41" s="43"/>
      <x:c r="I41" s="43"/>
      <x:c r="J41" s="40"/>
    </x:row>
    <x:row r="42" ht="18" customHeight="1">
      <x:c r="A42" s="43"/>
      <x:c r="B42" s="87"/>
      <x:c r="C42" s="87"/>
      <x:c r="D42" s="93"/>
      <x:c r="E42" s="109"/>
      <x:c r="F42" s="43"/>
      <x:c r="G42" s="40"/>
      <x:c r="H42" s="43"/>
      <x:c r="I42" s="43"/>
      <x:c r="J42" s="40"/>
    </x:row>
    <x:row r="43" ht="18" customHeight="1">
      <x:c r="A43" s="43"/>
      <x:c r="B43" s="87"/>
      <x:c r="C43" s="87"/>
      <x:c r="D43" s="93"/>
      <x:c r="E43" s="109"/>
      <x:c r="F43" s="43"/>
      <x:c r="G43" s="40"/>
      <x:c r="H43" s="43"/>
      <x:c r="I43" s="43"/>
      <x:c r="J43" s="40"/>
    </x:row>
    <x:row r="44" ht="18" customHeight="1">
      <x:c r="A44" s="43"/>
      <x:c r="B44" s="87"/>
      <x:c r="C44" s="87"/>
      <x:c r="D44" s="93"/>
      <x:c r="E44" s="109"/>
      <x:c r="F44" s="43"/>
      <x:c r="G44" s="40"/>
      <x:c r="H44" s="43"/>
      <x:c r="I44" s="43"/>
      <x:c r="J44" s="40"/>
    </x:row>
    <x:row r="45" ht="18" customHeight="1">
      <x:c r="A45" s="43"/>
      <x:c r="B45" s="87"/>
      <x:c r="C45" s="87"/>
      <x:c r="D45" s="93"/>
      <x:c r="E45" s="109"/>
      <x:c r="F45" s="43"/>
      <x:c r="G45" s="40"/>
      <x:c r="H45" s="43"/>
      <x:c r="I45" s="43"/>
      <x:c r="J45" s="40"/>
    </x:row>
    <x:row r="46" ht="18" customHeight="1">
      <x:c r="A46" s="43"/>
      <x:c r="B46" s="87"/>
      <x:c r="C46" s="87"/>
      <x:c r="D46" s="93"/>
      <x:c r="E46" s="109"/>
      <x:c r="F46" s="43"/>
      <x:c r="G46" s="40"/>
      <x:c r="H46" s="43"/>
      <x:c r="I46" s="43"/>
      <x:c r="J46" s="40"/>
    </x:row>
    <x:row r="47" ht="18" customHeight="1">
      <x:c r="A47" s="43"/>
      <x:c r="B47" s="87"/>
      <x:c r="C47" s="87"/>
      <x:c r="D47" s="93"/>
      <x:c r="E47" s="109"/>
      <x:c r="F47" s="43"/>
      <x:c r="G47" s="40"/>
      <x:c r="H47" s="43"/>
      <x:c r="I47" s="43"/>
      <x:c r="J47" s="40"/>
    </x:row>
    <x:row r="48" ht="18" customHeight="1">
      <x:c r="A48" s="43"/>
      <x:c r="B48" s="87"/>
      <x:c r="C48" s="87"/>
      <x:c r="D48" s="93"/>
      <x:c r="E48" s="109"/>
      <x:c r="F48" s="43"/>
      <x:c r="G48" s="40"/>
      <x:c r="H48" s="43"/>
      <x:c r="I48" s="43"/>
      <x:c r="J48" s="40"/>
    </x:row>
    <x:row r="49" ht="18" customHeight="1">
      <x:c r="A49" s="43"/>
      <x:c r="B49" s="87"/>
      <x:c r="C49" s="87"/>
      <x:c r="D49" s="93"/>
      <x:c r="E49" s="109"/>
      <x:c r="F49" s="43"/>
      <x:c r="G49" s="40"/>
      <x:c r="H49" s="43"/>
      <x:c r="I49" s="43"/>
      <x:c r="J49" s="40"/>
    </x:row>
    <x:row r="50" ht="18" customHeight="1">
      <x:c r="A50" s="43"/>
      <x:c r="B50" s="87"/>
      <x:c r="C50" s="87"/>
      <x:c r="D50" s="93"/>
      <x:c r="E50" s="109"/>
      <x:c r="F50" s="43"/>
      <x:c r="G50" s="40"/>
      <x:c r="H50" s="43"/>
      <x:c r="I50" s="43"/>
      <x:c r="J50" s="40"/>
    </x:row>
    <x:row r="51" ht="18" customHeight="1">
      <x:c r="A51" s="43"/>
      <x:c r="B51" s="87"/>
      <x:c r="C51" s="87"/>
      <x:c r="D51" s="93"/>
      <x:c r="E51" s="109"/>
      <x:c r="F51" s="43"/>
      <x:c r="G51" s="40"/>
      <x:c r="H51" s="43"/>
      <x:c r="I51" s="43"/>
      <x:c r="J51" s="40"/>
    </x:row>
    <x:row r="52" ht="18" customHeight="1">
      <x:c r="A52" s="43"/>
      <x:c r="B52" s="87"/>
      <x:c r="C52" s="87"/>
      <x:c r="D52" s="93"/>
      <x:c r="E52" s="109"/>
      <x:c r="F52" s="43"/>
      <x:c r="G52" s="40"/>
      <x:c r="H52" s="43"/>
      <x:c r="I52" s="43"/>
      <x:c r="J52" s="40"/>
    </x:row>
    <x:row r="53" ht="18" customHeight="1">
      <x:c r="A53" s="43"/>
      <x:c r="B53" s="87"/>
      <x:c r="C53" s="87"/>
      <x:c r="D53" s="93"/>
      <x:c r="E53" s="109"/>
      <x:c r="F53" s="43"/>
      <x:c r="G53" s="40"/>
      <x:c r="H53" s="43"/>
      <x:c r="I53" s="43"/>
      <x:c r="J53" s="40"/>
    </x:row>
    <x:row r="54" ht="18" customHeight="1">
      <x:c r="A54" s="43"/>
      <x:c r="B54" s="87"/>
      <x:c r="C54" s="87"/>
      <x:c r="D54" s="93"/>
      <x:c r="E54" s="109"/>
      <x:c r="F54" s="43"/>
      <x:c r="G54" s="40"/>
      <x:c r="H54" s="43"/>
      <x:c r="I54" s="43"/>
      <x:c r="J54" s="40"/>
    </x:row>
    <x:row r="55" ht="18" customHeight="1">
      <x:c r="A55" s="43"/>
      <x:c r="B55" s="87"/>
      <x:c r="C55" s="87"/>
      <x:c r="D55" s="93"/>
      <x:c r="E55" s="109"/>
      <x:c r="F55" s="43"/>
      <x:c r="G55" s="40"/>
      <x:c r="H55" s="43"/>
      <x:c r="I55" s="43"/>
      <x:c r="J55" s="40"/>
    </x:row>
    <x:row r="56" ht="18" customHeight="1">
      <x:c r="A56" s="44"/>
      <x:c r="B56" s="88"/>
      <x:c r="C56" s="88"/>
      <x:c r="D56" s="94"/>
      <x:c r="E56" s="110"/>
      <x:c r="F56" s="44"/>
      <x:c r="G56" s="41"/>
      <x:c r="H56" s="44"/>
      <x:c r="I56" s="44"/>
      <x:c r="J56" s="41"/>
    </x:row>
  </x:sheetData>
  <x:mergeCells>
    <x:mergeCell ref="A1:J1"/>
    <x:mergeCell ref="A2:J2"/>
    <x:mergeCell ref="A3:J4"/>
  </x:mergeCells>
  <x:conditionalFormatting sqref="I7:I56">
    <x:cfRule type="containsText" dxfId="47" priority="1" operator="containsText" text="启用"/>
    <x:cfRule type="containsText" dxfId="48" priority="2" operator="containsText" text="已发布"/>
    <x:cfRule type="containsText" dxfId="49" priority="3" operator="containsText" text="草稿"/>
    <x:cfRule type="containsText" dxfId="50" priority="4" operator="containsText" text="停用"/>
  </x:conditionalFormatting>
  <x:conditionalFormatting sqref="A7:A56">
    <x:cfRule type="duplicateValues" dxfId="51" priority="5"/>
  </x:conditionalFormatting>
  <x:dataValidations count="2">
    <x:dataValidation type="decimal" operator="greaterThan" sqref="E7:E56">
      <x:formula1>0</x:formula1>
    </x:dataValidation>
    <x:dataValidation type="list" sqref="I7:I56">
      <x:formula1>"草稿,已发布,停用"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" hidden="0" customWidth="1"/>
    <x:col min="2" max="2" width="16.25" hidden="0" customWidth="1"/>
    <x:col min="3" max="3" width="15" hidden="0" customWidth="1"/>
    <x:col min="4" max="4" width="53.75" hidden="0" customWidth="1"/>
  </x:cols>
  <x:sheetData>
    <x:row r="1" ht="28.5" customHeight="1">
      <x:c r="A1" s="3" t="str">
        <x:v>配置检查清单</x:v>
      </x:c>
      <x:c r="B1" s="3"/>
      <x:c r="C1" s="3"/>
      <x:c r="D1" s="3"/>
    </x:row>
    <x:row r="2" ht="19.5" customHeight="1">
      <x:c r="A2" s="6" t="str">
        <x:v>填写后先看这里，再发布配置</x:v>
      </x:c>
      <x:c r="B2" s="6"/>
      <x:c r="C2" s="6"/>
      <x:c r="D2" s="6"/>
    </x:row>
    <x:row r="3" ht="21" customHeight="1">
      <x:c r="A3" s="21" t="str">
        <x:v>模板当前显示“待填写”是正常状态。完成数据录入后，应消除所有“待修正”；算法未提供前仍会保留“待填写”。</x:v>
      </x:c>
      <x:c r="B3" s="22"/>
      <x:c r="C3" s="22"/>
      <x:c r="D3" s="23"/>
    </x:row>
    <x:row r="4" ht="21" customHeight="1">
      <x:c r="A4" s="24"/>
      <x:c r="B4" s="25"/>
      <x:c r="C4" s="25"/>
      <x:c r="D4" s="26"/>
    </x:row>
    <x:row r="6" ht="31.5" customHeight="1">
      <x:c r="A6" s="31" t="str">
        <x:v>check_name
检查项</x:v>
      </x:c>
      <x:c r="B6" s="31" t="str">
        <x:v>actual_value
当前值</x:v>
      </x:c>
      <x:c r="C6" s="31" t="str">
        <x:v>status
状态</x:v>
      </x:c>
      <x:c r="D6" s="31" t="str">
        <x:v>fix_hint
修正说明</x:v>
      </x:c>
    </x:row>
    <x:row r="7">
      <x:c r="A7" s="73" t="str">
        <x:v>游戏配置行数</x:v>
      </x:c>
      <x:c r="B7" s="111" t="n">
        <x:f>COUNTA('游戏配置'!$A$7:$A$46)</x:f>
        <x:v>0</x:v>
      </x:c>
      <x:c r="C7" s="114" t="str">
        <x:f>IF(B7=0,"待填写","OK")</x:f>
        <x:v>待填写</x:v>
      </x:c>
      <x:c r="D7" s="73" t="str">
        <x:v>至少填写一款游戏。</x:v>
      </x:c>
    </x:row>
    <x:row r="8">
      <x:c r="A8" s="74" t="str">
        <x:v>启用国家数</x:v>
      </x:c>
      <x:c r="B8" s="112" t="n">
        <x:f>COUNTIF('国家地区'!$F$7:$F$56,"启用")</x:f>
        <x:v>30</x:v>
      </x:c>
      <x:c r="C8" s="115" t="str">
        <x:f>IF(B8=0,"待填写","OK")</x:f>
        <x:v>OK</x:v>
      </x:c>
      <x:c r="D8" s="74" t="str">
        <x:v>当前默认启用 30 个市场，可按需增删。</x:v>
      </x:c>
    </x:row>
    <x:row r="9">
      <x:c r="A9" s="74" t="str">
        <x:v>App ID 缺失数</x:v>
      </x:c>
      <x:c r="B9" s="112" t="n">
        <x:f>COUNTIFS('AppID映射'!$A$7:$A$66,"&lt;&gt;",'AppID映射'!$D$7:$D$66,"")</x:f>
        <x:v>0</x:v>
      </x:c>
      <x:c r="C9" s="115" t="str">
        <x:f>IF(B9=0,"OK","待修正")</x:f>
        <x:v>OK</x:v>
      </x:c>
      <x:c r="D9" s="74" t="str">
        <x:v>有映射行时 App Store ID 必须填写。</x:v>
      </x:c>
    </x:row>
    <x:row r="10">
      <x:c r="A10" s="74" t="str">
        <x:v>小于 1 的渠道系数数</x:v>
      </x:c>
      <x:c r="B10" s="112" t="n">
        <x:f>COUNTIFS('渠道系数'!$A$7:$A$56,"&lt;&gt;",'渠道系数'!$E$7:$E$56,"&lt;1")+COUNTIFS('渠道系数'!$A$7:$A$56,"&lt;&gt;",'渠道系数'!$F$7:$F$56,"&lt;1")</x:f>
        <x:v>0</x:v>
      </x:c>
      <x:c r="C10" s="115" t="str">
        <x:f>IF(B10=0,"OK","待修正")</x:f>
        <x:v>OK</x:v>
      </x:c>
      <x:c r="D10" s="74" t="str">
        <x:v>两个逐级乘数均不得小于 1。</x:v>
      </x:c>
    </x:row>
    <x:row r="11">
      <x:c r="A11" s="74" t="str">
        <x:v>越界分成比例数</x:v>
      </x:c>
      <x:c r="B11" s="112" t="n">
        <x:f>COUNTIFS('分成比例'!$A$7:$A$56,"&lt;&gt;",'分成比例'!$E$7:$E$56,"&lt;0")+COUNTIFS('分成比例'!$A$7:$A$56,"&lt;&gt;",'分成比例'!$E$7:$E$56,"&gt;1")</x:f>
        <x:v>0</x:v>
      </x:c>
      <x:c r="C11" s="115" t="str">
        <x:f>IF(B11=0,"OK","待修正")</x:f>
        <x:v>OK</x:v>
      </x:c>
      <x:c r="D11" s="74" t="str">
        <x:v>渠道分成比例必须处于 0%-100%。</x:v>
      </x:c>
    </x:row>
    <x:row r="12">
      <x:c r="A12" s="74" t="str">
        <x:v>排名算法行数</x:v>
      </x:c>
      <x:c r="B12" s="112" t="n">
        <x:f>COUNTA('排名流水算法'!$A$7:$A$66)</x:f>
        <x:v>0</x:v>
      </x:c>
      <x:c r="C12" s="115" t="str">
        <x:f>IF(B12=0,"待填写","OK")</x:f>
        <x:v>待填写</x:v>
      </x:c>
      <x:c r="D12" s="74" t="str">
        <x:v>算法页按要求暂时留空，最终提供算法后再填写。</x:v>
      </x:c>
    </x:row>
    <x:row r="13">
      <x:c r="A13" s="74" t="str">
        <x:v>排名算法三档错误数</x:v>
      </x:c>
      <x:c r="B13" s="112" t="n">
        <x:f>COUNTIF('排名流水算法'!$Q$7:$Q$66,"错误")</x:f>
        <x:v>0</x:v>
      </x:c>
      <x:c r="C13" s="115" t="str">
        <x:f>IF(B13=0,"OK","待修正")</x:f>
        <x:v>OK</x:v>
      </x:c>
      <x:c r="D13" s="74" t="str">
        <x:v>保守值 ≤ 基准值 ≤ 乐观值，且排名区间有效。</x:v>
      </x:c>
    </x:row>
    <x:row r="14">
      <x:c r="A14" s="74" t="str">
        <x:v>同时间混合权重合计</x:v>
      </x:c>
      <x:c r="B14" s="117" t="n">
        <x:f>SUM('系统设置'!$C$11:$C$12)</x:f>
        <x:v>1</x:v>
      </x:c>
      <x:c r="C14" s="115" t="str">
        <x:f>IF(ABS(B14-1)&lt;0.000001,"OK","待修正")</x:f>
        <x:v>OK</x:v>
      </x:c>
      <x:c r="D14" s="74" t="str">
        <x:v>七麦和点点同时间权重之和必须等于 100%。</x:v>
      </x:c>
    </x:row>
    <x:row r="15">
      <x:c r="A15" s="75" t="str">
        <x:v>CNY 基准汇率记录数</x:v>
      </x:c>
      <x:c r="B15" s="113" t="n">
        <x:f>COUNTIFS('汇率配置'!$B$7:$B$56,"CNY",'汇率配置'!$C$7:$C$56,"CNY",'汇率配置'!$E$7:$E$56,1)</x:f>
        <x:v>1</x:v>
      </x:c>
      <x:c r="C15" s="116" t="str">
        <x:f>IF(B15&gt;0,"OK","待修正")</x:f>
        <x:v>OK</x:v>
      </x:c>
      <x:c r="D15" s="75" t="str">
        <x:v>CNY/CNY 必须存在一条汇率为 1 的记录。</x:v>
      </x:c>
    </x:row>
    <x:row r="17">
      <x:c r="A17" s="119" t="str">
        <x:v>MODEL STATUS</x:v>
      </x:c>
      <x:c r="B17" s="119"/>
      <x:c r="C17" s="122" t="str">
        <x:f>IF(COUNTIF(C7:C15,"待修正")&gt;0,"需修正",IF(COUNTIF(C7:C15,"待填写")&gt;0,"待填写","通过"))</x:f>
        <x:v>待填写</x:v>
      </x:c>
      <x:c r="D17" s="122"/>
    </x:row>
    <x:row r="18">
      <x:c r="A18" s="119" t="str">
        <x:v>说明</x:v>
      </x:c>
      <x:c r="B18" s="119"/>
      <x:c r="C18" s="125" t="str">
        <x:v>“通过”仅表示配置表内部校验通过，不代表外部榜单登录、抓取或最终算法已经验证。</x:v>
      </x:c>
      <x:c r="D18" s="125"/>
    </x:row>
  </x:sheetData>
  <x:mergeCells>
    <x:mergeCell ref="A1:D1"/>
    <x:mergeCell ref="A2:D2"/>
    <x:mergeCell ref="A3:D4"/>
    <x:mergeCell ref="A17:B17"/>
    <x:mergeCell ref="A18:B18"/>
    <x:mergeCell ref="C17:D17"/>
    <x:mergeCell ref="C18:D18"/>
  </x:mergeCells>
  <x:conditionalFormatting sqref="C7:C15">
    <x:cfRule type="containsText" dxfId="52" priority="1" operator="containsText" text="OK"/>
    <x:cfRule type="containsText" dxfId="53" priority="2" operator="containsText" text="通过"/>
    <x:cfRule type="containsText" dxfId="54" priority="3" operator="containsText" text="待填写"/>
    <x:cfRule type="containsText" dxfId="55" priority="4" operator="containsText" text="待修正"/>
    <x:cfRule type="containsText" dxfId="56" priority="5" operator="containsText" text="错误"/>
  </x:conditionalFormatting>
  <x:conditionalFormatting sqref="C17:C17">
    <x:cfRule type="containsText" dxfId="57" priority="6" operator="containsText" text="OK"/>
    <x:cfRule type="containsText" dxfId="58" priority="7" operator="containsText" text="通过"/>
    <x:cfRule type="containsText" dxfId="59" priority="8" operator="containsText" text="待填写"/>
    <x:cfRule type="containsText" dxfId="60" priority="9" operator="containsText" text="待修正"/>
    <x:cfRule type="containsText" dxfId="61" priority="10" operator="containsText" text="错误"/>
  </x:conditionalFormatting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.630000114440918" hidden="0" customWidth="1"/>
    <x:col min="2" max="2" width="31.8799991607666" hidden="0" customWidth="1"/>
    <x:col min="3" max="3" width="23.75" hidden="0" customWidth="1"/>
    <x:col min="4" max="4" width="10" hidden="0" customWidth="1"/>
    <x:col min="5" max="5" width="13.75" hidden="0" customWidth="1"/>
    <x:col min="6" max="6" width="22.5" hidden="0" customWidth="1"/>
    <x:col min="7" max="7" width="57.5" hidden="0" customWidth="1"/>
  </x:cols>
  <x:sheetData>
    <x:row r="1" ht="28.5" customHeight="1">
      <x:c r="A1" s="3" t="str">
        <x:v>字段字典</x:v>
      </x:c>
      <x:c r="B1" s="3"/>
      <x:c r="C1" s="3"/>
      <x:c r="D1" s="3"/>
      <x:c r="E1" s="3"/>
      <x:c r="F1" s="3"/>
      <x:c r="G1" s="3"/>
    </x:row>
    <x:row r="2" ht="19.5" customHeight="1">
      <x:c r="A2" s="6" t="str">
        <x:v>系统读取模板时使用的字段契约</x:v>
      </x:c>
      <x:c r="B2" s="6"/>
      <x:c r="C2" s="6"/>
      <x:c r="D2" s="6"/>
      <x:c r="E2" s="6"/>
      <x:c r="F2" s="6"/>
      <x:c r="G2" s="6"/>
    </x:row>
    <x:row r="3" ht="21" customHeight="1">
      <x:c r="A3" s="21" t="str">
        <x:v>不要修改工作表名称或英文键名。示例仅用于理解，不是已配置数据；实际配置请填写到对应工作表。</x:v>
      </x:c>
      <x:c r="B3" s="22"/>
      <x:c r="C3" s="22"/>
      <x:c r="D3" s="22"/>
      <x:c r="E3" s="22"/>
      <x:c r="F3" s="22"/>
      <x:c r="G3" s="23"/>
    </x:row>
    <x:row r="4" ht="21" customHeight="1">
      <x:c r="A4" s="24"/>
      <x:c r="B4" s="25"/>
      <x:c r="C4" s="25"/>
      <x:c r="D4" s="25"/>
      <x:c r="E4" s="25"/>
      <x:c r="F4" s="25"/>
      <x:c r="G4" s="26"/>
    </x:row>
    <x:row r="6" ht="31.5" customHeight="1">
      <x:c r="A6" s="31" t="str">
        <x:v>sheet_name
工作表</x:v>
      </x:c>
      <x:c r="B6" s="31" t="str">
        <x:v>field_key
字段键</x:v>
      </x:c>
      <x:c r="C6" s="31" t="str">
        <x:v>field_label
中文名称</x:v>
      </x:c>
      <x:c r="D6" s="31" t="str">
        <x:v>required
必填</x:v>
      </x:c>
      <x:c r="E6" s="31" t="str">
        <x:v>data_type
类型</x:v>
      </x:c>
      <x:c r="F6" s="31" t="str">
        <x:v>example
示例</x:v>
      </x:c>
      <x:c r="G6" s="31" t="str">
        <x:v>validation_and_description
校验与说明</x:v>
      </x:c>
    </x:row>
    <x:row r="7" ht="24" customHeight="1">
      <x:c r="A7" s="76" t="str">
        <x:v>系统设置</x:v>
      </x:c>
      <x:c r="B7" s="73" t="str">
        <x:v>setting_key</x:v>
      </x:c>
      <x:c r="C7" s="73" t="str">
        <x:v>设置键</x:v>
      </x:c>
      <x:c r="D7" s="127" t="str">
        <x:v>是</x:v>
      </x:c>
      <x:c r="E7" s="73" t="str">
        <x:v>文本</x:v>
      </x:c>
      <x:c r="F7" s="73" t="str">
        <x:v>sync_interval_minutes</x:v>
      </x:c>
      <x:c r="G7" s="73" t="str">
        <x:v>唯一且不可改名｜系统读取配置时使用的固定键。</x:v>
      </x:c>
    </x:row>
    <x:row r="8" ht="24" customHeight="1">
      <x:c r="A8" s="77" t="str">
        <x:v>系统设置</x:v>
      </x:c>
      <x:c r="B8" s="74" t="str">
        <x:v>setting_name</x:v>
      </x:c>
      <x:c r="C8" s="74" t="str">
        <x:v>设置名称</x:v>
      </x:c>
      <x:c r="D8" s="128" t="str">
        <x:v>是</x:v>
      </x:c>
      <x:c r="E8" s="74" t="str">
        <x:v>文本</x:v>
      </x:c>
      <x:c r="F8" s="74" t="str">
        <x:v>默认同步间隔</x:v>
      </x:c>
      <x:c r="G8" s="74" t="str">
        <x:v>非空｜面向管理员的中文名称。</x:v>
      </x:c>
    </x:row>
    <x:row r="9" ht="24" customHeight="1">
      <x:c r="A9" s="77" t="str">
        <x:v>系统设置</x:v>
      </x:c>
      <x:c r="B9" s="74" t="str">
        <x:v>setting_value</x:v>
      </x:c>
      <x:c r="C9" s="74" t="str">
        <x:v>配置值</x:v>
      </x:c>
      <x:c r="D9" s="128" t="str">
        <x:v>是</x:v>
      </x:c>
      <x:c r="E9" s="74" t="str">
        <x:v>文本/数值</x:v>
      </x:c>
      <x:c r="F9" s="74" t="str">
        <x:v>60</x:v>
      </x:c>
      <x:c r="G9" s="74" t="str">
        <x:v>按 allowed_values_or_range｜系统实际读取的配置值。</x:v>
      </x:c>
    </x:row>
    <x:row r="10" ht="24" customHeight="1">
      <x:c r="A10" s="77" t="str">
        <x:v>系统设置</x:v>
      </x:c>
      <x:c r="B10" s="74" t="str">
        <x:v>data_type</x:v>
      </x:c>
      <x:c r="C10" s="74" t="str">
        <x:v>数据类型</x:v>
      </x:c>
      <x:c r="D10" s="128" t="str">
        <x:v>是</x:v>
      </x:c>
      <x:c r="E10" s="74" t="str">
        <x:v>枚举</x:v>
      </x:c>
      <x:c r="F10" s="74" t="str">
        <x:v>integer</x:v>
      </x:c>
      <x:c r="G10" s="74" t="str">
        <x:v>text/integer/decimal/boolean/list｜帮助系统正确解析配置值。</x:v>
      </x:c>
    </x:row>
    <x:row r="11" ht="24" customHeight="1">
      <x:c r="A11" s="77" t="str">
        <x:v>系统设置</x:v>
      </x:c>
      <x:c r="B11" s="74" t="str">
        <x:v>required</x:v>
      </x:c>
      <x:c r="C11" s="74" t="str">
        <x:v>必填</x:v>
      </x:c>
      <x:c r="D11" s="128" t="str">
        <x:v>是</x:v>
      </x:c>
      <x:c r="E11" s="74" t="str">
        <x:v>枚举</x:v>
      </x:c>
      <x:c r="F11" s="74" t="str">
        <x:v>是</x:v>
      </x:c>
      <x:c r="G11" s="74" t="str">
        <x:v>是/否｜是否必须提供。</x:v>
      </x:c>
    </x:row>
    <x:row r="12" ht="24" customHeight="1">
      <x:c r="A12" s="77" t="str">
        <x:v>系统设置</x:v>
      </x:c>
      <x:c r="B12" s="74" t="str">
        <x:v>allowed_values_or_range</x:v>
      </x:c>
      <x:c r="C12" s="74" t="str">
        <x:v>允许值或范围</x:v>
      </x:c>
      <x:c r="D12" s="128" t="str">
        <x:v>否</x:v>
      </x:c>
      <x:c r="E12" s="74" t="str">
        <x:v>文本</x:v>
      </x:c>
      <x:c r="F12" s="74" t="str">
        <x:v>30-1440</x:v>
      </x:c>
      <x:c r="G12" s="74" t="str">
        <x:v>说明性字段｜合法枚举或数值范围。</x:v>
      </x:c>
    </x:row>
    <x:row r="13" ht="24" customHeight="1">
      <x:c r="A13" s="77" t="str">
        <x:v>系统设置</x:v>
      </x:c>
      <x:c r="B13" s="74" t="str">
        <x:v>description</x:v>
      </x:c>
      <x:c r="C13" s="74" t="str">
        <x:v>说明</x:v>
      </x:c>
      <x:c r="D13" s="128" t="str">
        <x:v>否</x:v>
      </x:c>
      <x:c r="E13" s="74" t="str">
        <x:v>文本</x:v>
      </x:c>
      <x:c r="F13" s="74" t="str">
        <x:v>每小时同步</x:v>
      </x:c>
      <x:c r="G13" s="74" t="str">
        <x:v>可空｜配置含义和注意事项。</x:v>
      </x:c>
    </x:row>
    <x:row r="14" ht="24" customHeight="1">
      <x:c r="A14" s="77" t="str">
        <x:v>游戏配置</x:v>
      </x:c>
      <x:c r="B14" s="74" t="str">
        <x:v>game_id</x:v>
      </x:c>
      <x:c r="C14" s="74" t="str">
        <x:v>游戏ID</x:v>
      </x:c>
      <x:c r="D14" s="128" t="str">
        <x:v>是</x:v>
      </x:c>
      <x:c r="E14" s="74" t="str">
        <x:v>文本</x:v>
      </x:c>
      <x:c r="F14" s="74" t="str">
        <x:v>game_001</x:v>
      </x:c>
      <x:c r="G14" s="74" t="str">
        <x:v>工作簿内唯一｜系统内部稳定标识；创建后不要修改。</x:v>
      </x:c>
    </x:row>
    <x:row r="15" ht="24" customHeight="1">
      <x:c r="A15" s="77" t="str">
        <x:v>游戏配置</x:v>
      </x:c>
      <x:c r="B15" s="74" t="str">
        <x:v>game_name</x:v>
      </x:c>
      <x:c r="C15" s="74" t="str">
        <x:v>游戏名称</x:v>
      </x:c>
      <x:c r="D15" s="128" t="str">
        <x:v>是</x:v>
      </x:c>
      <x:c r="E15" s="74" t="str">
        <x:v>文本</x:v>
      </x:c>
      <x:c r="F15" s="74" t="str">
        <x:v>示例游戏</x:v>
      </x:c>
      <x:c r="G15" s="74" t="str">
        <x:v>非空｜页面显示名称。</x:v>
      </x:c>
    </x:row>
    <x:row r="16" ht="24" customHeight="1">
      <x:c r="A16" s="77" t="str">
        <x:v>游戏配置</x:v>
      </x:c>
      <x:c r="B16" s="74" t="str">
        <x:v>publisher</x:v>
      </x:c>
      <x:c r="C16" s="74" t="str">
        <x:v>发行商</x:v>
      </x:c>
      <x:c r="D16" s="128" t="str">
        <x:v>否</x:v>
      </x:c>
      <x:c r="E16" s="74" t="str">
        <x:v>文本</x:v>
      </x:c>
      <x:c r="F16" s="74" t="str">
        <x:v>示例发行商</x:v>
      </x:c>
      <x:c r="G16" s="74" t="str">
        <x:v>可空｜用于识别同名游戏。</x:v>
      </x:c>
    </x:row>
    <x:row r="17" ht="24" customHeight="1">
      <x:c r="A17" s="77" t="str">
        <x:v>游戏配置</x:v>
      </x:c>
      <x:c r="B17" s="74" t="str">
        <x:v>enabled</x:v>
      </x:c>
      <x:c r="C17" s="74" t="str">
        <x:v>启用状态</x:v>
      </x:c>
      <x:c r="D17" s="128" t="str">
        <x:v>是</x:v>
      </x:c>
      <x:c r="E17" s="74" t="str">
        <x:v>枚举</x:v>
      </x:c>
      <x:c r="F17" s="74" t="str">
        <x:v>启用</x:v>
      </x:c>
      <x:c r="G17" s="74" t="str">
        <x:v>启用/停用｜仅启用游戏进入抓取和测算。</x:v>
      </x:c>
    </x:row>
    <x:row r="18" ht="24" customHeight="1">
      <x:c r="A18" s="77" t="str">
        <x:v>游戏配置</x:v>
      </x:c>
      <x:c r="B18" s="74" t="str">
        <x:v>monitoring_start_date</x:v>
      </x:c>
      <x:c r="C18" s="74" t="str">
        <x:v>监控起始日期</x:v>
      </x:c>
      <x:c r="D18" s="128" t="str">
        <x:v>是</x:v>
      </x:c>
      <x:c r="E18" s="74" t="str">
        <x:v>日期</x:v>
      </x:c>
      <x:c r="F18" s="74" t="str">
        <x:v>2026-08-01</x:v>
      </x:c>
      <x:c r="G18" s="74" t="str">
        <x:v>yyyy-mm-dd｜系统从该日期尝试补抓和持续监控。</x:v>
      </x:c>
    </x:row>
    <x:row r="19" ht="24" customHeight="1">
      <x:c r="A19" s="77" t="str">
        <x:v>游戏配置</x:v>
      </x:c>
      <x:c r="B19" s="74" t="str">
        <x:v>config_version</x:v>
      </x:c>
      <x:c r="C19" s="74" t="str">
        <x:v>配置版本</x:v>
      </x:c>
      <x:c r="D19" s="128" t="str">
        <x:v>是</x:v>
      </x:c>
      <x:c r="E19" s="74" t="str">
        <x:v>文本</x:v>
      </x:c>
      <x:c r="F19" s="74" t="str">
        <x:v>v1</x:v>
      </x:c>
      <x:c r="G19" s="74" t="str">
        <x:v>非空｜用于审计和历史复现。</x:v>
      </x:c>
    </x:row>
    <x:row r="20" ht="24" customHeight="1">
      <x:c r="A20" s="77" t="str">
        <x:v>游戏配置</x:v>
      </x:c>
      <x:c r="B20" s="74" t="str">
        <x:v>effective_date</x:v>
      </x:c>
      <x:c r="C20" s="74" t="str">
        <x:v>生效日期</x:v>
      </x:c>
      <x:c r="D20" s="128" t="str">
        <x:v>是</x:v>
      </x:c>
      <x:c r="E20" s="74" t="str">
        <x:v>日期</x:v>
      </x:c>
      <x:c r="F20" s="74" t="str">
        <x:v>2026-08-01</x:v>
      </x:c>
      <x:c r="G20" s="74" t="str">
        <x:v>yyyy-mm-dd｜配置从该日生效。</x:v>
      </x:c>
    </x:row>
    <x:row r="21" ht="24" customHeight="1">
      <x:c r="A21" s="77" t="str">
        <x:v>游戏配置</x:v>
      </x:c>
      <x:c r="B21" s="74" t="str">
        <x:v>end_date</x:v>
      </x:c>
      <x:c r="C21" s="74" t="str">
        <x:v>失效日期</x:v>
      </x:c>
      <x:c r="D21" s="128" t="str">
        <x:v>否</x:v>
      </x:c>
      <x:c r="E21" s="74" t="str">
        <x:v>日期</x:v>
      </x:c>
      <x:c r="F21" s="74" t="str"/>
      <x:c r="G21" s="74" t="str">
        <x:v>空或不早于生效日期｜为空表示持续有效。</x:v>
      </x:c>
    </x:row>
    <x:row r="22" ht="24" customHeight="1">
      <x:c r="A22" s="77" t="str">
        <x:v>游戏配置</x:v>
      </x:c>
      <x:c r="B22" s="74" t="str">
        <x:v>notes</x:v>
      </x:c>
      <x:c r="C22" s="74" t="str">
        <x:v>备注</x:v>
      </x:c>
      <x:c r="D22" s="128" t="str">
        <x:v>否</x:v>
      </x:c>
      <x:c r="E22" s="74" t="str">
        <x:v>文本</x:v>
      </x:c>
      <x:c r="F22" s="74" t="str">
        <x:v>海外版本另有 App ID</x:v>
      </x:c>
      <x:c r="G22" s="74" t="str">
        <x:v>可空｜补充说明。</x:v>
      </x:c>
    </x:row>
    <x:row r="23" ht="24" customHeight="1">
      <x:c r="A23" s="77" t="str">
        <x:v>国家地区</x:v>
      </x:c>
      <x:c r="B23" s="74" t="str">
        <x:v>country_code</x:v>
      </x:c>
      <x:c r="C23" s="74" t="str">
        <x:v>国家代码</x:v>
      </x:c>
      <x:c r="D23" s="128" t="str">
        <x:v>是</x:v>
      </x:c>
      <x:c r="E23" s="74" t="str">
        <x:v>文本</x:v>
      </x:c>
      <x:c r="F23" s="74" t="str">
        <x:v>cn</x:v>
      </x:c>
      <x:c r="G23" s="74" t="str">
        <x:v>ISO 两位小写且唯一｜国家/地区稳定键。</x:v>
      </x:c>
    </x:row>
    <x:row r="24" ht="24" customHeight="1">
      <x:c r="A24" s="77" t="str">
        <x:v>国家地区</x:v>
      </x:c>
      <x:c r="B24" s="74" t="str">
        <x:v>country_name</x:v>
      </x:c>
      <x:c r="C24" s="74" t="str">
        <x:v>国家或地区</x:v>
      </x:c>
      <x:c r="D24" s="128" t="str">
        <x:v>是</x:v>
      </x:c>
      <x:c r="E24" s="74" t="str">
        <x:v>文本</x:v>
      </x:c>
      <x:c r="F24" s="74" t="str">
        <x:v>中国</x:v>
      </x:c>
      <x:c r="G24" s="74" t="str">
        <x:v>非空｜页面显示名称。</x:v>
      </x:c>
    </x:row>
    <x:row r="25" ht="24" customHeight="1">
      <x:c r="A25" s="77" t="str">
        <x:v>国家地区</x:v>
      </x:c>
      <x:c r="B25" s="74" t="str">
        <x:v>revenue_scope</x:v>
      </x:c>
      <x:c r="C25" s="74" t="str">
        <x:v>流水归属</x:v>
      </x:c>
      <x:c r="D25" s="128" t="str">
        <x:v>是</x:v>
      </x:c>
      <x:c r="E25" s="74" t="str">
        <x:v>枚举</x:v>
      </x:c>
      <x:c r="F25" s="74" t="str">
        <x:v>国内</x:v>
      </x:c>
      <x:c r="G25" s="74" t="str">
        <x:v>国内/海外｜中国归国内，其余启用地区归海外。</x:v>
      </x:c>
    </x:row>
    <x:row r="26" ht="24" customHeight="1">
      <x:c r="A26" s="77" t="str">
        <x:v>国家地区</x:v>
      </x:c>
      <x:c r="B26" s="74" t="str">
        <x:v>currency_code</x:v>
      </x:c>
      <x:c r="C26" s="74" t="str">
        <x:v>原币代码</x:v>
      </x:c>
      <x:c r="D26" s="128" t="str">
        <x:v>是</x:v>
      </x:c>
      <x:c r="E26" s="74" t="str">
        <x:v>文本</x:v>
      </x:c>
      <x:c r="F26" s="74" t="str">
        <x:v>CNY</x:v>
      </x:c>
      <x:c r="G26" s="74" t="str">
        <x:v>ISO 4217 三位大写｜该市场算法输出的原始币种。</x:v>
      </x:c>
    </x:row>
    <x:row r="27" ht="24" customHeight="1">
      <x:c r="A27" s="77" t="str">
        <x:v>国家地区</x:v>
      </x:c>
      <x:c r="B27" s="74" t="str">
        <x:v>market_priority</x:v>
      </x:c>
      <x:c r="C27" s="74" t="str">
        <x:v>市场优先级</x:v>
      </x:c>
      <x:c r="D27" s="128" t="str">
        <x:v>是</x:v>
      </x:c>
      <x:c r="E27" s="74" t="str">
        <x:v>整数</x:v>
      </x:c>
      <x:c r="F27" s="74" t="str">
        <x:v>1</x:v>
      </x:c>
      <x:c r="G27" s="74" t="str">
        <x:v>&gt;=1 且唯一｜控制页面排序和分批抓取顺序。</x:v>
      </x:c>
    </x:row>
    <x:row r="28" ht="24" customHeight="1">
      <x:c r="A28" s="77" t="str">
        <x:v>国家地区</x:v>
      </x:c>
      <x:c r="B28" s="74" t="str">
        <x:v>enabled</x:v>
      </x:c>
      <x:c r="C28" s="74" t="str">
        <x:v>启用状态</x:v>
      </x:c>
      <x:c r="D28" s="128" t="str">
        <x:v>是</x:v>
      </x:c>
      <x:c r="E28" s="74" t="str">
        <x:v>枚举</x:v>
      </x:c>
      <x:c r="F28" s="74" t="str">
        <x:v>启用</x:v>
      </x:c>
      <x:c r="G28" s="74" t="str">
        <x:v>启用/停用｜允许增删或停用市场。</x:v>
      </x:c>
    </x:row>
    <x:row r="29" ht="24" customHeight="1">
      <x:c r="A29" s="77" t="str">
        <x:v>国家地区</x:v>
      </x:c>
      <x:c r="B29" s="74" t="str">
        <x:v>qimai_country_code</x:v>
      </x:c>
      <x:c r="C29" s="74" t="str">
        <x:v>七麦地区编码</x:v>
      </x:c>
      <x:c r="D29" s="128" t="str">
        <x:v>否</x:v>
      </x:c>
      <x:c r="E29" s="74" t="str">
        <x:v>文本</x:v>
      </x:c>
      <x:c r="F29" s="74" t="str">
        <x:v>cn</x:v>
      </x:c>
      <x:c r="G29" s="74" t="str">
        <x:v>站点实际编码｜七麦抓取链接使用；未验证可留空。</x:v>
      </x:c>
    </x:row>
    <x:row r="30" ht="24" customHeight="1">
      <x:c r="A30" s="77" t="str">
        <x:v>国家地区</x:v>
      </x:c>
      <x:c r="B30" s="74" t="str">
        <x:v>diandian_country_id</x:v>
      </x:c>
      <x:c r="C30" s="74" t="str">
        <x:v>点点地区ID</x:v>
      </x:c>
      <x:c r="D30" s="128" t="str">
        <x:v>否</x:v>
      </x:c>
      <x:c r="E30" s="74" t="str">
        <x:v>文本</x:v>
      </x:c>
      <x:c r="F30" s="74" t="str">
        <x:v>75</x:v>
      </x:c>
      <x:c r="G30" s="74" t="str">
        <x:v>站点实际 ID｜点点抓取链接使用；未验证可留空。</x:v>
      </x:c>
    </x:row>
    <x:row r="31" ht="24" customHeight="1">
      <x:c r="A31" s="77" t="str">
        <x:v>国家地区</x:v>
      </x:c>
      <x:c r="B31" s="74" t="str">
        <x:v>notes</x:v>
      </x:c>
      <x:c r="C31" s="74" t="str">
        <x:v>备注</x:v>
      </x:c>
      <x:c r="D31" s="128" t="str">
        <x:v>否</x:v>
      </x:c>
      <x:c r="E31" s="74" t="str">
        <x:v>文本</x:v>
      </x:c>
      <x:c r="F31" s="74" t="str">
        <x:v>点点映射待验证</x:v>
      </x:c>
      <x:c r="G31" s="74" t="str">
        <x:v>可空｜地区特殊说明。</x:v>
      </x:c>
    </x:row>
    <x:row r="32" ht="24" customHeight="1">
      <x:c r="A32" s="77" t="str">
        <x:v>AppID映射</x:v>
      </x:c>
      <x:c r="B32" s="74" t="str">
        <x:v>mapping_id</x:v>
      </x:c>
      <x:c r="C32" s="74" t="str">
        <x:v>映射ID</x:v>
      </x:c>
      <x:c r="D32" s="128" t="str">
        <x:v>是</x:v>
      </x:c>
      <x:c r="E32" s="74" t="str">
        <x:v>文本</x:v>
      </x:c>
      <x:c r="F32" s="74" t="str">
        <x:v>map_game001_cn</x:v>
      </x:c>
      <x:c r="G32" s="74" t="str">
        <x:v>工作簿内唯一｜App ID 映射稳定键。</x:v>
      </x:c>
    </x:row>
    <x:row r="33" ht="24" customHeight="1">
      <x:c r="A33" s="77" t="str">
        <x:v>AppID映射</x:v>
      </x:c>
      <x:c r="B33" s="74" t="str">
        <x:v>game_id</x:v>
      </x:c>
      <x:c r="C33" s="74" t="str">
        <x:v>游戏ID</x:v>
      </x:c>
      <x:c r="D33" s="128" t="str">
        <x:v>是</x:v>
      </x:c>
      <x:c r="E33" s="74" t="str">
        <x:v>文本</x:v>
      </x:c>
      <x:c r="F33" s="74" t="str">
        <x:v>game_001</x:v>
      </x:c>
      <x:c r="G33" s="74" t="str">
        <x:v>必须存在于游戏配置｜所属游戏主体。</x:v>
      </x:c>
    </x:row>
    <x:row r="34" ht="24" customHeight="1">
      <x:c r="A34" s="77" t="str">
        <x:v>AppID映射</x:v>
      </x:c>
      <x:c r="B34" s="74" t="str">
        <x:v>country_code</x:v>
      </x:c>
      <x:c r="C34" s="74" t="str">
        <x:v>国家代码</x:v>
      </x:c>
      <x:c r="D34" s="128" t="str">
        <x:v>是</x:v>
      </x:c>
      <x:c r="E34" s="74" t="str">
        <x:v>文本</x:v>
      </x:c>
      <x:c r="F34" s="74" t="str">
        <x:v>cn</x:v>
      </x:c>
      <x:c r="G34" s="74" t="str">
        <x:v>必须存在于国家地区｜该 App ID 生效的市场。</x:v>
      </x:c>
    </x:row>
    <x:row r="35" ht="24" customHeight="1">
      <x:c r="A35" s="77" t="str">
        <x:v>AppID映射</x:v>
      </x:c>
      <x:c r="B35" s="74" t="str">
        <x:v>app_store_id</x:v>
      </x:c>
      <x:c r="C35" s="74" t="str">
        <x:v>App Store ID</x:v>
      </x:c>
      <x:c r="D35" s="128" t="str">
        <x:v>是</x:v>
      </x:c>
      <x:c r="E35" s="74" t="str">
        <x:v>文本</x:v>
      </x:c>
      <x:c r="F35" s="74" t="str">
        <x:v>1234567890</x:v>
      </x:c>
      <x:c r="G35" s="74" t="str">
        <x:v>按文本保存｜抓取匹配的唯一标识，不以游戏名称匹配。</x:v>
      </x:c>
    </x:row>
    <x:row r="36" ht="24" customHeight="1">
      <x:c r="A36" s="77" t="str">
        <x:v>AppID映射</x:v>
      </x:c>
      <x:c r="B36" s="74" t="str">
        <x:v>regional_app_name</x:v>
      </x:c>
      <x:c r="C36" s="74" t="str">
        <x:v>地区版本名称</x:v>
      </x:c>
      <x:c r="D36" s="128" t="str">
        <x:v>否</x:v>
      </x:c>
      <x:c r="E36" s="74" t="str">
        <x:v>文本</x:v>
      </x:c>
      <x:c r="F36" s="74" t="str">
        <x:v>示例游戏</x:v>
      </x:c>
      <x:c r="G36" s="74" t="str">
        <x:v>可空｜便于核对地区版名称。</x:v>
      </x:c>
    </x:row>
    <x:row r="37" ht="24" customHeight="1">
      <x:c r="A37" s="77" t="str">
        <x:v>AppID映射</x:v>
      </x:c>
      <x:c r="B37" s="74" t="str">
        <x:v>enabled</x:v>
      </x:c>
      <x:c r="C37" s="74" t="str">
        <x:v>启用状态</x:v>
      </x:c>
      <x:c r="D37" s="128" t="str">
        <x:v>是</x:v>
      </x:c>
      <x:c r="E37" s="74" t="str">
        <x:v>枚举</x:v>
      </x:c>
      <x:c r="F37" s="74" t="str">
        <x:v>启用</x:v>
      </x:c>
      <x:c r="G37" s="74" t="str">
        <x:v>启用/停用｜停用后不参与抓取和测算。</x:v>
      </x:c>
    </x:row>
    <x:row r="38" ht="24" customHeight="1">
      <x:c r="A38" s="77" t="str">
        <x:v>AppID映射</x:v>
      </x:c>
      <x:c r="B38" s="74" t="str">
        <x:v>config_version</x:v>
      </x:c>
      <x:c r="C38" s="74" t="str">
        <x:v>配置版本</x:v>
      </x:c>
      <x:c r="D38" s="128" t="str">
        <x:v>是</x:v>
      </x:c>
      <x:c r="E38" s="74" t="str">
        <x:v>文本</x:v>
      </x:c>
      <x:c r="F38" s="74" t="str">
        <x:v>v1</x:v>
      </x:c>
      <x:c r="G38" s="74" t="str">
        <x:v>非空｜历史复现用版本。</x:v>
      </x:c>
    </x:row>
    <x:row r="39" ht="24" customHeight="1">
      <x:c r="A39" s="77" t="str">
        <x:v>AppID映射</x:v>
      </x:c>
      <x:c r="B39" s="74" t="str">
        <x:v>effective_date</x:v>
      </x:c>
      <x:c r="C39" s="74" t="str">
        <x:v>生效日期</x:v>
      </x:c>
      <x:c r="D39" s="128" t="str">
        <x:v>是</x:v>
      </x:c>
      <x:c r="E39" s="74" t="str">
        <x:v>日期</x:v>
      </x:c>
      <x:c r="F39" s="74" t="str">
        <x:v>2026-08-01</x:v>
      </x:c>
      <x:c r="G39" s="74" t="str">
        <x:v>yyyy-mm-dd｜映射开始有效的日期。</x:v>
      </x:c>
    </x:row>
    <x:row r="40" ht="24" customHeight="1">
      <x:c r="A40" s="77" t="str">
        <x:v>AppID映射</x:v>
      </x:c>
      <x:c r="B40" s="74" t="str">
        <x:v>end_date</x:v>
      </x:c>
      <x:c r="C40" s="74" t="str">
        <x:v>失效日期</x:v>
      </x:c>
      <x:c r="D40" s="128" t="str">
        <x:v>否</x:v>
      </x:c>
      <x:c r="E40" s="74" t="str">
        <x:v>日期</x:v>
      </x:c>
      <x:c r="F40" s="74" t="str"/>
      <x:c r="G40" s="74" t="str">
        <x:v>空或不早于生效日期｜为空表示持续有效。</x:v>
      </x:c>
    </x:row>
    <x:row r="41" ht="24" customHeight="1">
      <x:c r="A41" s="77" t="str">
        <x:v>AppID映射</x:v>
      </x:c>
      <x:c r="B41" s="74" t="str">
        <x:v>notes</x:v>
      </x:c>
      <x:c r="C41" s="74" t="str">
        <x:v>备注</x:v>
      </x:c>
      <x:c r="D41" s="128" t="str">
        <x:v>否</x:v>
      </x:c>
      <x:c r="E41" s="74" t="str">
        <x:v>文本</x:v>
      </x:c>
      <x:c r="F41" s="74" t="str"/>
      <x:c r="G41" s="74" t="str">
        <x:v>可空｜补充说明。</x:v>
      </x:c>
    </x:row>
    <x:row r="42" ht="24" customHeight="1">
      <x:c r="A42" s="77" t="str">
        <x:v>榜单监控</x:v>
      </x:c>
      <x:c r="B42" s="74" t="str">
        <x:v>monitor_id</x:v>
      </x:c>
      <x:c r="C42" s="74" t="str">
        <x:v>监控ID</x:v>
      </x:c>
      <x:c r="D42" s="128" t="str">
        <x:v>是</x:v>
      </x:c>
      <x:c r="E42" s="74" t="str">
        <x:v>文本</x:v>
      </x:c>
      <x:c r="F42" s="74" t="str">
        <x:v>mon_game001_cn_qimai</x:v>
      </x:c>
      <x:c r="G42" s="74" t="str">
        <x:v>工作簿内唯一｜一条来源/国家/榜单监控规则。</x:v>
      </x:c>
    </x:row>
    <x:row r="43" ht="24" customHeight="1">
      <x:c r="A43" s="77" t="str">
        <x:v>榜单监控</x:v>
      </x:c>
      <x:c r="B43" s="74" t="str">
        <x:v>game_id</x:v>
      </x:c>
      <x:c r="C43" s="74" t="str">
        <x:v>游戏ID</x:v>
      </x:c>
      <x:c r="D43" s="128" t="str">
        <x:v>是</x:v>
      </x:c>
      <x:c r="E43" s="74" t="str">
        <x:v>文本</x:v>
      </x:c>
      <x:c r="F43" s="74" t="str">
        <x:v>game_001</x:v>
      </x:c>
      <x:c r="G43" s="74" t="str">
        <x:v>必须存在于游戏配置｜所属游戏。</x:v>
      </x:c>
    </x:row>
    <x:row r="44" ht="24" customHeight="1">
      <x:c r="A44" s="77" t="str">
        <x:v>榜单监控</x:v>
      </x:c>
      <x:c r="B44" s="74" t="str">
        <x:v>country_code</x:v>
      </x:c>
      <x:c r="C44" s="74" t="str">
        <x:v>国家代码</x:v>
      </x:c>
      <x:c r="D44" s="128" t="str">
        <x:v>是</x:v>
      </x:c>
      <x:c r="E44" s="74" t="str">
        <x:v>文本</x:v>
      </x:c>
      <x:c r="F44" s="74" t="str">
        <x:v>cn</x:v>
      </x:c>
      <x:c r="G44" s="74" t="str">
        <x:v>必须存在于国家地区｜监控市场。</x:v>
      </x:c>
    </x:row>
    <x:row r="45" ht="24" customHeight="1">
      <x:c r="A45" s="77" t="str">
        <x:v>榜单监控</x:v>
      </x:c>
      <x:c r="B45" s="74" t="str">
        <x:v>provider</x:v>
      </x:c>
      <x:c r="C45" s="74" t="str">
        <x:v>数据来源</x:v>
      </x:c>
      <x:c r="D45" s="128" t="str">
        <x:v>是</x:v>
      </x:c>
      <x:c r="E45" s="74" t="str">
        <x:v>枚举</x:v>
      </x:c>
      <x:c r="F45" s="74" t="str">
        <x:v>七麦</x:v>
      </x:c>
      <x:c r="G45" s="74" t="str">
        <x:v>七麦/点点｜每个来源单独配置一行。</x:v>
      </x:c>
    </x:row>
    <x:row r="46" ht="24" customHeight="1">
      <x:c r="A46" s="77" t="str">
        <x:v>榜单监控</x:v>
      </x:c>
      <x:c r="B46" s="74" t="str">
        <x:v>device</x:v>
      </x:c>
      <x:c r="C46" s="74" t="str">
        <x:v>设备</x:v>
      </x:c>
      <x:c r="D46" s="128" t="str">
        <x:v>是</x:v>
      </x:c>
      <x:c r="E46" s="74" t="str">
        <x:v>枚举</x:v>
      </x:c>
      <x:c r="F46" s="74" t="str">
        <x:v>iPhone</x:v>
      </x:c>
      <x:c r="G46" s="74" t="str">
        <x:v>iPhone/iPad｜榜单设备口径。</x:v>
      </x:c>
    </x:row>
    <x:row r="47" ht="24" customHeight="1">
      <x:c r="A47" s="77" t="str">
        <x:v>榜单监控</x:v>
      </x:c>
      <x:c r="B47" s="74" t="str">
        <x:v>chart_type</x:v>
      </x:c>
      <x:c r="C47" s="74" t="str">
        <x:v>榜单类型</x:v>
      </x:c>
      <x:c r="D47" s="128" t="str">
        <x:v>是</x:v>
      </x:c>
      <x:c r="E47" s="74" t="str">
        <x:v>枚举</x:v>
      </x:c>
      <x:c r="F47" s="74" t="str">
        <x:v>游戏畅销榜</x:v>
      </x:c>
      <x:c r="G47" s="74" t="str">
        <x:v>配置的榜单口径｜算法必须与该榜单类型严格匹配。</x:v>
      </x:c>
    </x:row>
    <x:row r="48" ht="24" customHeight="1">
      <x:c r="A48" s="77" t="str">
        <x:v>榜单监控</x:v>
      </x:c>
      <x:c r="B48" s="74" t="str">
        <x:v>provider_chart_parameter</x:v>
      </x:c>
      <x:c r="C48" s="74" t="str">
        <x:v>来源榜单参数</x:v>
      </x:c>
      <x:c r="D48" s="128" t="str">
        <x:v>否</x:v>
      </x:c>
      <x:c r="E48" s="74" t="str">
        <x:v>文本</x:v>
      </x:c>
      <x:c r="F48" s="74" t="str">
        <x:v>genre=6014</x:v>
      </x:c>
      <x:c r="G48" s="74" t="str">
        <x:v>站点实际参数｜七麦/点点页面的榜单分类参数。</x:v>
      </x:c>
    </x:row>
    <x:row r="49" ht="24" customHeight="1">
      <x:c r="A49" s="77" t="str">
        <x:v>榜单监控</x:v>
      </x:c>
      <x:c r="B49" s="74" t="str">
        <x:v>enabled</x:v>
      </x:c>
      <x:c r="C49" s="74" t="str">
        <x:v>启用状态</x:v>
      </x:c>
      <x:c r="D49" s="128" t="str">
        <x:v>是</x:v>
      </x:c>
      <x:c r="E49" s="74" t="str">
        <x:v>枚举</x:v>
      </x:c>
      <x:c r="F49" s="74" t="str">
        <x:v>启用</x:v>
      </x:c>
      <x:c r="G49" s="74" t="str">
        <x:v>启用/停用｜是否执行该监控。</x:v>
      </x:c>
    </x:row>
    <x:row r="50" ht="24" customHeight="1">
      <x:c r="A50" s="77" t="str">
        <x:v>榜单监控</x:v>
      </x:c>
      <x:c r="B50" s="74" t="str">
        <x:v>sync_interval_minutes</x:v>
      </x:c>
      <x:c r="C50" s="74" t="str">
        <x:v>同步间隔分钟</x:v>
      </x:c>
      <x:c r="D50" s="128" t="str">
        <x:v>是</x:v>
      </x:c>
      <x:c r="E50" s="74" t="str">
        <x:v>整数</x:v>
      </x:c>
      <x:c r="F50" s="74" t="str">
        <x:v>60</x:v>
      </x:c>
      <x:c r="G50" s="74" t="str">
        <x:v>30-1440｜默认每小时；系统仍执行并发和风控限制。</x:v>
      </x:c>
    </x:row>
    <x:row r="51" ht="24" customHeight="1">
      <x:c r="A51" s="77" t="str">
        <x:v>榜单监控</x:v>
      </x:c>
      <x:c r="B51" s="74" t="str">
        <x:v>config_version</x:v>
      </x:c>
      <x:c r="C51" s="74" t="str">
        <x:v>配置版本</x:v>
      </x:c>
      <x:c r="D51" s="128" t="str">
        <x:v>是</x:v>
      </x:c>
      <x:c r="E51" s="74" t="str">
        <x:v>文本</x:v>
      </x:c>
      <x:c r="F51" s="74" t="str">
        <x:v>v1</x:v>
      </x:c>
      <x:c r="G51" s="74" t="str">
        <x:v>非空｜历史复现用版本。</x:v>
      </x:c>
    </x:row>
    <x:row r="52" ht="24" customHeight="1">
      <x:c r="A52" s="77" t="str">
        <x:v>榜单监控</x:v>
      </x:c>
      <x:c r="B52" s="74" t="str">
        <x:v>effective_date</x:v>
      </x:c>
      <x:c r="C52" s="74" t="str">
        <x:v>生效日期</x:v>
      </x:c>
      <x:c r="D52" s="128" t="str">
        <x:v>是</x:v>
      </x:c>
      <x:c r="E52" s="74" t="str">
        <x:v>日期</x:v>
      </x:c>
      <x:c r="F52" s="74" t="str">
        <x:v>2026-08-01</x:v>
      </x:c>
      <x:c r="G52" s="74" t="str">
        <x:v>yyyy-mm-dd｜监控规则开始生效。</x:v>
      </x:c>
    </x:row>
    <x:row r="53" ht="24" customHeight="1">
      <x:c r="A53" s="77" t="str">
        <x:v>榜单监控</x:v>
      </x:c>
      <x:c r="B53" s="74" t="str">
        <x:v>end_date</x:v>
      </x:c>
      <x:c r="C53" s="74" t="str">
        <x:v>失效日期</x:v>
      </x:c>
      <x:c r="D53" s="128" t="str">
        <x:v>否</x:v>
      </x:c>
      <x:c r="E53" s="74" t="str">
        <x:v>日期</x:v>
      </x:c>
      <x:c r="F53" s="74" t="str"/>
      <x:c r="G53" s="74" t="str">
        <x:v>空或不早于生效日期｜为空表示持续有效。</x:v>
      </x:c>
    </x:row>
    <x:row r="54" ht="24" customHeight="1">
      <x:c r="A54" s="77" t="str">
        <x:v>榜单监控</x:v>
      </x:c>
      <x:c r="B54" s="74" t="str">
        <x:v>notes</x:v>
      </x:c>
      <x:c r="C54" s="74" t="str">
        <x:v>备注</x:v>
      </x:c>
      <x:c r="D54" s="128" t="str">
        <x:v>否</x:v>
      </x:c>
      <x:c r="E54" s="74" t="str">
        <x:v>文本</x:v>
      </x:c>
      <x:c r="F54" s="74" t="str"/>
      <x:c r="G54" s="74" t="str">
        <x:v>可空｜补充说明。</x:v>
      </x:c>
    </x:row>
    <x:row r="55" ht="24" customHeight="1">
      <x:c r="A55" s="77" t="str">
        <x:v>渠道系数</x:v>
      </x:c>
      <x:c r="B55" s="74" t="str">
        <x:v>coefficient_id</x:v>
      </x:c>
      <x:c r="C55" s="74" t="str">
        <x:v>系数ID</x:v>
      </x:c>
      <x:c r="D55" s="128" t="str">
        <x:v>是</x:v>
      </x:c>
      <x:c r="E55" s="74" t="str">
        <x:v>文本</x:v>
      </x:c>
      <x:c r="F55" s="74" t="str">
        <x:v>coef_game001_all</x:v>
      </x:c>
      <x:c r="G55" s="74" t="str">
        <x:v>工作簿内唯一｜渠道系数配置稳定键。</x:v>
      </x:c>
    </x:row>
    <x:row r="56" ht="24" customHeight="1">
      <x:c r="A56" s="77" t="str">
        <x:v>渠道系数</x:v>
      </x:c>
      <x:c r="B56" s="74" t="str">
        <x:v>game_id</x:v>
      </x:c>
      <x:c r="C56" s="74" t="str">
        <x:v>游戏ID</x:v>
      </x:c>
      <x:c r="D56" s="128" t="str">
        <x:v>是</x:v>
      </x:c>
      <x:c r="E56" s="74" t="str">
        <x:v>文本</x:v>
      </x:c>
      <x:c r="F56" s="74" t="str">
        <x:v>game_001</x:v>
      </x:c>
      <x:c r="G56" s="74" t="str">
        <x:v>必须存在于游戏配置｜每款被监控游戏必须填写。</x:v>
      </x:c>
    </x:row>
    <x:row r="57" ht="24" customHeight="1">
      <x:c r="A57" s="77" t="str">
        <x:v>渠道系数</x:v>
      </x:c>
      <x:c r="B57" s="74" t="str">
        <x:v>country_code</x:v>
      </x:c>
      <x:c r="C57" s="74" t="str">
        <x:v>国家代码</x:v>
      </x:c>
      <x:c r="D57" s="128" t="str">
        <x:v>是</x:v>
      </x:c>
      <x:c r="E57" s="74" t="str">
        <x:v>文本</x:v>
      </x:c>
      <x:c r="F57" s="74" t="str">
        <x:v>ALL</x:v>
      </x:c>
      <x:c r="G57" s="74" t="str">
        <x:v>国家代码或 ALL｜ALL 为该游戏默认；国家专属配置优先。</x:v>
      </x:c>
    </x:row>
    <x:row r="58" ht="24" customHeight="1">
      <x:c r="A58" s="77" t="str">
        <x:v>渠道系数</x:v>
      </x:c>
      <x:c r="B58" s="74" t="str">
        <x:v>chart_type</x:v>
      </x:c>
      <x:c r="C58" s="74" t="str">
        <x:v>榜单类型</x:v>
      </x:c>
      <x:c r="D58" s="128" t="str">
        <x:v>是</x:v>
      </x:c>
      <x:c r="E58" s="74" t="str">
        <x:v>文本</x:v>
      </x:c>
      <x:c r="F58" s="74" t="str">
        <x:v>游戏畅销榜</x:v>
      </x:c>
      <x:c r="G58" s="74" t="str">
        <x:v>必须与监控及算法一致｜说明该系数适用的榜单口径。</x:v>
      </x:c>
    </x:row>
    <x:row r="59" ht="24" customHeight="1">
      <x:c r="A59" s="77" t="str">
        <x:v>渠道系数</x:v>
      </x:c>
      <x:c r="B59" s="74" t="str">
        <x:v>ios_to_mobile_factor</x:v>
      </x:c>
      <x:c r="C59" s="74" t="str">
        <x:v>iOS到移动端系数</x:v>
      </x:c>
      <x:c r="D59" s="128" t="str">
        <x:v>是</x:v>
      </x:c>
      <x:c r="E59" s="74" t="str">
        <x:v>小数</x:v>
      </x:c>
      <x:c r="F59" s="74" t="str">
        <x:v>2.00</x:v>
      </x:c>
      <x:c r="G59" s="74" t="str">
        <x:v>&gt;=1｜移动端总流水 = iOS 流水 × 本系数。</x:v>
      </x:c>
    </x:row>
    <x:row r="60" ht="24" customHeight="1">
      <x:c r="A60" s="77" t="str">
        <x:v>渠道系数</x:v>
      </x:c>
      <x:c r="B60" s="74" t="str">
        <x:v>mobile_to_all_factor</x:v>
      </x:c>
      <x:c r="C60" s="74" t="str">
        <x:v>移动端到全渠道系数</x:v>
      </x:c>
      <x:c r="D60" s="128" t="str">
        <x:v>是</x:v>
      </x:c>
      <x:c r="E60" s="74" t="str">
        <x:v>小数</x:v>
      </x:c>
      <x:c r="F60" s="74" t="str">
        <x:v>3.00</x:v>
      </x:c>
      <x:c r="G60" s="74" t="str">
        <x:v>&gt;=1｜全渠道总流水 = 移动端流水 × 本系数。</x:v>
      </x:c>
    </x:row>
    <x:row r="61" ht="24" customHeight="1">
      <x:c r="A61" s="77" t="str">
        <x:v>渠道系数</x:v>
      </x:c>
      <x:c r="B61" s="74" t="str">
        <x:v>config_version</x:v>
      </x:c>
      <x:c r="C61" s="74" t="str">
        <x:v>配置版本</x:v>
      </x:c>
      <x:c r="D61" s="128" t="str">
        <x:v>是</x:v>
      </x:c>
      <x:c r="E61" s="74" t="str">
        <x:v>文本</x:v>
      </x:c>
      <x:c r="F61" s="74" t="str">
        <x:v>v1</x:v>
      </x:c>
      <x:c r="G61" s="74" t="str">
        <x:v>非空｜版本化保存，历史不静默重算。</x:v>
      </x:c>
    </x:row>
    <x:row r="62" ht="24" customHeight="1">
      <x:c r="A62" s="77" t="str">
        <x:v>渠道系数</x:v>
      </x:c>
      <x:c r="B62" s="74" t="str">
        <x:v>effective_date</x:v>
      </x:c>
      <x:c r="C62" s="74" t="str">
        <x:v>生效日期</x:v>
      </x:c>
      <x:c r="D62" s="128" t="str">
        <x:v>是</x:v>
      </x:c>
      <x:c r="E62" s="74" t="str">
        <x:v>日期</x:v>
      </x:c>
      <x:c r="F62" s="74" t="str">
        <x:v>2026-08-01</x:v>
      </x:c>
      <x:c r="G62" s="74" t="str">
        <x:v>yyyy-mm-dd｜该组系数开始生效。</x:v>
      </x:c>
    </x:row>
    <x:row r="63" ht="24" customHeight="1">
      <x:c r="A63" s="77" t="str">
        <x:v>渠道系数</x:v>
      </x:c>
      <x:c r="B63" s="74" t="str">
        <x:v>end_date</x:v>
      </x:c>
      <x:c r="C63" s="74" t="str">
        <x:v>失效日期</x:v>
      </x:c>
      <x:c r="D63" s="128" t="str">
        <x:v>否</x:v>
      </x:c>
      <x:c r="E63" s="74" t="str">
        <x:v>日期</x:v>
      </x:c>
      <x:c r="F63" s="74" t="str"/>
      <x:c r="G63" s="74" t="str">
        <x:v>空或不早于生效日期｜为空表示持续有效。</x:v>
      </x:c>
    </x:row>
    <x:row r="64" ht="24" customHeight="1">
      <x:c r="A64" s="77" t="str">
        <x:v>渠道系数</x:v>
      </x:c>
      <x:c r="B64" s="74" t="str">
        <x:v>publish_status</x:v>
      </x:c>
      <x:c r="C64" s="74" t="str">
        <x:v>发布状态</x:v>
      </x:c>
      <x:c r="D64" s="128" t="str">
        <x:v>是</x:v>
      </x:c>
      <x:c r="E64" s="74" t="str">
        <x:v>枚举</x:v>
      </x:c>
      <x:c r="F64" s="74" t="str">
        <x:v>已发布</x:v>
      </x:c>
      <x:c r="G64" s="74" t="str">
        <x:v>草稿/已发布/停用｜测算只读取已发布版本。</x:v>
      </x:c>
    </x:row>
    <x:row r="65" ht="24" customHeight="1">
      <x:c r="A65" s="77" t="str">
        <x:v>渠道系数</x:v>
      </x:c>
      <x:c r="B65" s="74" t="str">
        <x:v>notes</x:v>
      </x:c>
      <x:c r="C65" s="74" t="str">
        <x:v>备注</x:v>
      </x:c>
      <x:c r="D65" s="128" t="str">
        <x:v>否</x:v>
      </x:c>
      <x:c r="E65" s="74" t="str">
        <x:v>文本</x:v>
      </x:c>
      <x:c r="F65" s="74" t="str"/>
      <x:c r="G65" s="74" t="str">
        <x:v>可空｜系数依据和说明。</x:v>
      </x:c>
    </x:row>
    <x:row r="66" ht="24" customHeight="1">
      <x:c r="A66" s="77" t="str">
        <x:v>分成比例</x:v>
      </x:c>
      <x:c r="B66" s="74" t="str">
        <x:v>share_id</x:v>
      </x:c>
      <x:c r="C66" s="74" t="str">
        <x:v>分成ID</x:v>
      </x:c>
      <x:c r="D66" s="128" t="str">
        <x:v>是</x:v>
      </x:c>
      <x:c r="E66" s="74" t="str">
        <x:v>文本</x:v>
      </x:c>
      <x:c r="F66" s="74" t="str">
        <x:v>share_game001_ios</x:v>
      </x:c>
      <x:c r="G66" s="74" t="str">
        <x:v>工作簿内唯一｜分成配置稳定键。</x:v>
      </x:c>
    </x:row>
    <x:row r="67" ht="24" customHeight="1">
      <x:c r="A67" s="77" t="str">
        <x:v>分成比例</x:v>
      </x:c>
      <x:c r="B67" s="74" t="str">
        <x:v>game_id</x:v>
      </x:c>
      <x:c r="C67" s="74" t="str">
        <x:v>游戏ID</x:v>
      </x:c>
      <x:c r="D67" s="128" t="str">
        <x:v>是</x:v>
      </x:c>
      <x:c r="E67" s="74" t="str">
        <x:v>文本</x:v>
      </x:c>
      <x:c r="F67" s="74" t="str">
        <x:v>game_001</x:v>
      </x:c>
      <x:c r="G67" s="74" t="str">
        <x:v>必须存在于游戏配置｜所属游戏。</x:v>
      </x:c>
    </x:row>
    <x:row r="68" ht="24" customHeight="1">
      <x:c r="A68" s="77" t="str">
        <x:v>分成比例</x:v>
      </x:c>
      <x:c r="B68" s="74" t="str">
        <x:v>country_code</x:v>
      </x:c>
      <x:c r="C68" s="74" t="str">
        <x:v>国家代码</x:v>
      </x:c>
      <x:c r="D68" s="128" t="str">
        <x:v>是</x:v>
      </x:c>
      <x:c r="E68" s="74" t="str">
        <x:v>文本</x:v>
      </x:c>
      <x:c r="F68" s="74" t="str">
        <x:v>ALL</x:v>
      </x:c>
      <x:c r="G68" s="74" t="str">
        <x:v>国家代码或 ALL｜ALL 为该游戏默认；国家专属配置优先。</x:v>
      </x:c>
    </x:row>
    <x:row r="69" ht="24" customHeight="1">
      <x:c r="A69" s="77" t="str">
        <x:v>分成比例</x:v>
      </x:c>
      <x:c r="B69" s="74" t="str">
        <x:v>channel</x:v>
      </x:c>
      <x:c r="C69" s="74" t="str">
        <x:v>渠道</x:v>
      </x:c>
      <x:c r="D69" s="128" t="str">
        <x:v>是</x:v>
      </x:c>
      <x:c r="E69" s="74" t="str">
        <x:v>枚举</x:v>
      </x:c>
      <x:c r="F69" s="74" t="str">
        <x:v>iOS</x:v>
      </x:c>
      <x:c r="G69" s="74" t="str">
        <x:v>iOS/其他移动端/其他渠道｜三部分分别扣除分成后再相加。</x:v>
      </x:c>
    </x:row>
    <x:row r="70" ht="24" customHeight="1">
      <x:c r="A70" s="77" t="str">
        <x:v>分成比例</x:v>
      </x:c>
      <x:c r="B70" s="74" t="str">
        <x:v>platform_share_rate</x:v>
      </x:c>
      <x:c r="C70" s="74" t="str">
        <x:v>渠道分成比例</x:v>
      </x:c>
      <x:c r="D70" s="128" t="str">
        <x:v>是</x:v>
      </x:c>
      <x:c r="E70" s="74" t="str">
        <x:v>百分比</x:v>
      </x:c>
      <x:c r="F70" s="74" t="str">
        <x:v>30.00%</x:v>
      </x:c>
      <x:c r="G70" s="74" t="str">
        <x:v>0%-100%｜渠道取得的比例。</x:v>
      </x:c>
    </x:row>
    <x:row r="71" ht="24" customHeight="1">
      <x:c r="A71" s="77" t="str">
        <x:v>分成比例</x:v>
      </x:c>
      <x:c r="B71" s="74" t="str">
        <x:v>developer_retention_rate</x:v>
      </x:c>
      <x:c r="C71" s="74" t="str">
        <x:v>开发者留存比例</x:v>
      </x:c>
      <x:c r="D71" s="128" t="str">
        <x:v>否</x:v>
      </x:c>
      <x:c r="E71" s="74" t="str">
        <x:v>公式</x:v>
      </x:c>
      <x:c r="F71" s="74" t="str">
        <x:v>70.00%</x:v>
      </x:c>
      <x:c r="G71" s="74" t="str">
        <x:v>自动=1-分成比例｜自动计算，不要手工覆盖。</x:v>
      </x:c>
    </x:row>
    <x:row r="72" ht="24" customHeight="1">
      <x:c r="A72" s="77" t="str">
        <x:v>分成比例</x:v>
      </x:c>
      <x:c r="B72" s="74" t="str">
        <x:v>config_version</x:v>
      </x:c>
      <x:c r="C72" s="74" t="str">
        <x:v>配置版本</x:v>
      </x:c>
      <x:c r="D72" s="128" t="str">
        <x:v>是</x:v>
      </x:c>
      <x:c r="E72" s="74" t="str">
        <x:v>文本</x:v>
      </x:c>
      <x:c r="F72" s="74" t="str">
        <x:v>v1</x:v>
      </x:c>
      <x:c r="G72" s="74" t="str">
        <x:v>非空｜历史复现用版本。</x:v>
      </x:c>
    </x:row>
    <x:row r="73" ht="24" customHeight="1">
      <x:c r="A73" s="77" t="str">
        <x:v>分成比例</x:v>
      </x:c>
      <x:c r="B73" s="74" t="str">
        <x:v>effective_date</x:v>
      </x:c>
      <x:c r="C73" s="74" t="str">
        <x:v>生效日期</x:v>
      </x:c>
      <x:c r="D73" s="128" t="str">
        <x:v>是</x:v>
      </x:c>
      <x:c r="E73" s="74" t="str">
        <x:v>日期</x:v>
      </x:c>
      <x:c r="F73" s="74" t="str">
        <x:v>2026-08-01</x:v>
      </x:c>
      <x:c r="G73" s="74" t="str">
        <x:v>yyyy-mm-dd｜分成比例开始生效。</x:v>
      </x:c>
    </x:row>
    <x:row r="74" ht="24" customHeight="1">
      <x:c r="A74" s="77" t="str">
        <x:v>分成比例</x:v>
      </x:c>
      <x:c r="B74" s="74" t="str">
        <x:v>end_date</x:v>
      </x:c>
      <x:c r="C74" s="74" t="str">
        <x:v>失效日期</x:v>
      </x:c>
      <x:c r="D74" s="128" t="str">
        <x:v>否</x:v>
      </x:c>
      <x:c r="E74" s="74" t="str">
        <x:v>日期</x:v>
      </x:c>
      <x:c r="F74" s="74" t="str"/>
      <x:c r="G74" s="74" t="str">
        <x:v>空或不早于生效日期｜为空表示持续有效。</x:v>
      </x:c>
    </x:row>
    <x:row r="75" ht="24" customHeight="1">
      <x:c r="A75" s="77" t="str">
        <x:v>分成比例</x:v>
      </x:c>
      <x:c r="B75" s="74" t="str">
        <x:v>publish_status</x:v>
      </x:c>
      <x:c r="C75" s="74" t="str">
        <x:v>发布状态</x:v>
      </x:c>
      <x:c r="D75" s="128" t="str">
        <x:v>是</x:v>
      </x:c>
      <x:c r="E75" s="74" t="str">
        <x:v>枚举</x:v>
      </x:c>
      <x:c r="F75" s="74" t="str">
        <x:v>已发布</x:v>
      </x:c>
      <x:c r="G75" s="74" t="str">
        <x:v>草稿/已发布/停用｜测算只读取已发布版本。</x:v>
      </x:c>
    </x:row>
    <x:row r="76" ht="24" customHeight="1">
      <x:c r="A76" s="77" t="str">
        <x:v>分成比例</x:v>
      </x:c>
      <x:c r="B76" s="74" t="str">
        <x:v>notes</x:v>
      </x:c>
      <x:c r="C76" s="74" t="str">
        <x:v>备注</x:v>
      </x:c>
      <x:c r="D76" s="128" t="str">
        <x:v>否</x:v>
      </x:c>
      <x:c r="E76" s="74" t="str">
        <x:v>文本</x:v>
      </x:c>
      <x:c r="F76" s="74" t="str"/>
      <x:c r="G76" s="74" t="str">
        <x:v>可空｜分成依据和说明。</x:v>
      </x:c>
    </x:row>
    <x:row r="77" ht="24" customHeight="1">
      <x:c r="A77" s="77" t="str">
        <x:v>排名流水算法</x:v>
      </x:c>
      <x:c r="B77" s="74" t="str">
        <x:v>algorithm_id</x:v>
      </x:c>
      <x:c r="C77" s="74" t="str">
        <x:v>算法ID</x:v>
      </x:c>
      <x:c r="D77" s="128" t="str">
        <x:v>是</x:v>
      </x:c>
      <x:c r="E77" s="74" t="str">
        <x:v>文本</x:v>
      </x:c>
      <x:c r="F77" s="74" t="str">
        <x:v>alg_cn_game_grossing_001</x:v>
      </x:c>
      <x:c r="G77" s="74" t="str">
        <x:v>工作簿内唯一｜排名换算规则稳定键。</x:v>
      </x:c>
    </x:row>
    <x:row r="78" ht="24" customHeight="1">
      <x:c r="A78" s="77" t="str">
        <x:v>排名流水算法</x:v>
      </x:c>
      <x:c r="B78" s="74" t="str">
        <x:v>game_id</x:v>
      </x:c>
      <x:c r="C78" s="74" t="str">
        <x:v>游戏ID</x:v>
      </x:c>
      <x:c r="D78" s="128" t="str">
        <x:v>是</x:v>
      </x:c>
      <x:c r="E78" s="74" t="str">
        <x:v>文本</x:v>
      </x:c>
      <x:c r="F78" s="74" t="str">
        <x:v>game_001</x:v>
      </x:c>
      <x:c r="G78" s="74" t="str">
        <x:v>游戏ID或 DEFAULT｜允许游戏专属算法；DEFAULT 为公共规则。</x:v>
      </x:c>
    </x:row>
    <x:row r="79" ht="24" customHeight="1">
      <x:c r="A79" s="77" t="str">
        <x:v>排名流水算法</x:v>
      </x:c>
      <x:c r="B79" s="74" t="str">
        <x:v>country_code</x:v>
      </x:c>
      <x:c r="C79" s="74" t="str">
        <x:v>国家代码</x:v>
      </x:c>
      <x:c r="D79" s="128" t="str">
        <x:v>是</x:v>
      </x:c>
      <x:c r="E79" s="74" t="str">
        <x:v>文本</x:v>
      </x:c>
      <x:c r="F79" s="74" t="str">
        <x:v>cn</x:v>
      </x:c>
      <x:c r="G79" s="74" t="str">
        <x:v>必须存在于国家地区｜每个国家独立算法。</x:v>
      </x:c>
    </x:row>
    <x:row r="80" ht="24" customHeight="1">
      <x:c r="A80" s="77" t="str">
        <x:v>排名流水算法</x:v>
      </x:c>
      <x:c r="B80" s="74" t="str">
        <x:v>provider_scope</x:v>
      </x:c>
      <x:c r="C80" s="74" t="str">
        <x:v>来源范围</x:v>
      </x:c>
      <x:c r="D80" s="128" t="str">
        <x:v>是</x:v>
      </x:c>
      <x:c r="E80" s="74" t="str">
        <x:v>枚举</x:v>
      </x:c>
      <x:c r="F80" s="74" t="str">
        <x:v>ALL</x:v>
      </x:c>
      <x:c r="G80" s="74" t="str">
        <x:v>ALL/七麦/点点｜ALL 表示两来源共用；专属规则优先。</x:v>
      </x:c>
    </x:row>
    <x:row r="81" ht="24" customHeight="1">
      <x:c r="A81" s="77" t="str">
        <x:v>排名流水算法</x:v>
      </x:c>
      <x:c r="B81" s="74" t="str">
        <x:v>chart_type</x:v>
      </x:c>
      <x:c r="C81" s="74" t="str">
        <x:v>榜单类型</x:v>
      </x:c>
      <x:c r="D81" s="128" t="str">
        <x:v>是</x:v>
      </x:c>
      <x:c r="E81" s="74" t="str">
        <x:v>文本</x:v>
      </x:c>
      <x:c r="F81" s="74" t="str">
        <x:v>游戏畅销榜</x:v>
      </x:c>
      <x:c r="G81" s="74" t="str">
        <x:v>必须与监控一致｜不同榜单算法不得混用。</x:v>
      </x:c>
    </x:row>
    <x:row r="82" ht="24" customHeight="1">
      <x:c r="A82" s="77" t="str">
        <x:v>排名流水算法</x:v>
      </x:c>
      <x:c r="B82" s="74" t="str">
        <x:v>rank_min</x:v>
      </x:c>
      <x:c r="C82" s="74" t="str">
        <x:v>起始排名</x:v>
      </x:c>
      <x:c r="D82" s="128" t="str">
        <x:v>是</x:v>
      </x:c>
      <x:c r="E82" s="74" t="str">
        <x:v>整数</x:v>
      </x:c>
      <x:c r="F82" s="74" t="str">
        <x:v>1</x:v>
      </x:c>
      <x:c r="G82" s="74" t="str">
        <x:v>&gt;=1｜排名区间下界，含本值。</x:v>
      </x:c>
    </x:row>
    <x:row r="83" ht="24" customHeight="1">
      <x:c r="A83" s="77" t="str">
        <x:v>排名流水算法</x:v>
      </x:c>
      <x:c r="B83" s="74" t="str">
        <x:v>rank_max</x:v>
      </x:c>
      <x:c r="C83" s="74" t="str">
        <x:v>结束排名</x:v>
      </x:c>
      <x:c r="D83" s="128" t="str">
        <x:v>是</x:v>
      </x:c>
      <x:c r="E83" s="74" t="str">
        <x:v>整数</x:v>
      </x:c>
      <x:c r="F83" s="74" t="str">
        <x:v>10</x:v>
      </x:c>
      <x:c r="G83" s="74" t="str">
        <x:v>&gt;=起始排名｜排名区间上界，含本值。</x:v>
      </x:c>
    </x:row>
    <x:row r="84" ht="24" customHeight="1">
      <x:c r="A84" s="77" t="str">
        <x:v>排名流水算法</x:v>
      </x:c>
      <x:c r="B84" s="74" t="str">
        <x:v>interpolation</x:v>
      </x:c>
      <x:c r="C84" s="74" t="str">
        <x:v>插值方式</x:v>
      </x:c>
      <x:c r="D84" s="128" t="str">
        <x:v>是</x:v>
      </x:c>
      <x:c r="E84" s="74" t="str">
        <x:v>枚举</x:v>
      </x:c>
      <x:c r="F84" s="74" t="str">
        <x:v>阶梯</x:v>
      </x:c>
      <x:c r="G84" s="74" t="str">
        <x:v>阶梯/线性｜结构化算法，不执行任意代码。</x:v>
      </x:c>
    </x:row>
    <x:row r="85" ht="24" customHeight="1">
      <x:c r="A85" s="77" t="str">
        <x:v>排名流水算法</x:v>
      </x:c>
      <x:c r="B85" s="74" t="str">
        <x:v>conservative_ios_daily_gross</x:v>
      </x:c>
      <x:c r="C85" s="74" t="str">
        <x:v>保守iOS日流水</x:v>
      </x:c>
      <x:c r="D85" s="128" t="str">
        <x:v>是</x:v>
      </x:c>
      <x:c r="E85" s="74" t="str">
        <x:v>金额</x:v>
      </x:c>
      <x:c r="F85" s="74" t="str"/>
      <x:c r="G85" s="74" t="str">
        <x:v>&gt;=0｜本排名区间的保守档玩家支付总额。</x:v>
      </x:c>
    </x:row>
    <x:row r="86" ht="24" customHeight="1">
      <x:c r="A86" s="77" t="str">
        <x:v>排名流水算法</x:v>
      </x:c>
      <x:c r="B86" s="74" t="str">
        <x:v>base_ios_daily_gross</x:v>
      </x:c>
      <x:c r="C86" s="74" t="str">
        <x:v>基准iOS日流水</x:v>
      </x:c>
      <x:c r="D86" s="128" t="str">
        <x:v>是</x:v>
      </x:c>
      <x:c r="E86" s="74" t="str">
        <x:v>金额</x:v>
      </x:c>
      <x:c r="F86" s="74" t="str"/>
      <x:c r="G86" s="74" t="str">
        <x:v>&gt;=保守值｜页面主显的基准档。</x:v>
      </x:c>
    </x:row>
    <x:row r="87" ht="24" customHeight="1">
      <x:c r="A87" s="77" t="str">
        <x:v>排名流水算法</x:v>
      </x:c>
      <x:c r="B87" s="74" t="str">
        <x:v>optimistic_ios_daily_gross</x:v>
      </x:c>
      <x:c r="C87" s="74" t="str">
        <x:v>乐观iOS日流水</x:v>
      </x:c>
      <x:c r="D87" s="128" t="str">
        <x:v>是</x:v>
      </x:c>
      <x:c r="E87" s="74" t="str">
        <x:v>金额</x:v>
      </x:c>
      <x:c r="F87" s="74" t="str"/>
      <x:c r="G87" s="74" t="str">
        <x:v>&gt;=基准值｜本排名区间的乐观档。</x:v>
      </x:c>
    </x:row>
    <x:row r="88" ht="24" customHeight="1">
      <x:c r="A88" s="77" t="str">
        <x:v>排名流水算法</x:v>
      </x:c>
      <x:c r="B88" s="74" t="str">
        <x:v>currency_code</x:v>
      </x:c>
      <x:c r="C88" s="74" t="str">
        <x:v>原币代码</x:v>
      </x:c>
      <x:c r="D88" s="128" t="str">
        <x:v>是</x:v>
      </x:c>
      <x:c r="E88" s="74" t="str">
        <x:v>文本</x:v>
      </x:c>
      <x:c r="F88" s="74" t="str">
        <x:v>CNY</x:v>
      </x:c>
      <x:c r="G88" s="74" t="str">
        <x:v>与国家币种一致｜算法输出的原币。</x:v>
      </x:c>
    </x:row>
    <x:row r="89" ht="24" customHeight="1">
      <x:c r="A89" s="77" t="str">
        <x:v>排名流水算法</x:v>
      </x:c>
      <x:c r="B89" s="74" t="str">
        <x:v>config_version</x:v>
      </x:c>
      <x:c r="C89" s="74" t="str">
        <x:v>配置版本</x:v>
      </x:c>
      <x:c r="D89" s="128" t="str">
        <x:v>是</x:v>
      </x:c>
      <x:c r="E89" s="74" t="str">
        <x:v>文本</x:v>
      </x:c>
      <x:c r="F89" s="74" t="str">
        <x:v>v1</x:v>
      </x:c>
      <x:c r="G89" s="74" t="str">
        <x:v>非空｜算法版本化，历史结果可复现。</x:v>
      </x:c>
    </x:row>
    <x:row r="90" ht="24" customHeight="1">
      <x:c r="A90" s="77" t="str">
        <x:v>排名流水算法</x:v>
      </x:c>
      <x:c r="B90" s="74" t="str">
        <x:v>effective_date</x:v>
      </x:c>
      <x:c r="C90" s="74" t="str">
        <x:v>生效日期</x:v>
      </x:c>
      <x:c r="D90" s="128" t="str">
        <x:v>是</x:v>
      </x:c>
      <x:c r="E90" s="74" t="str">
        <x:v>日期</x:v>
      </x:c>
      <x:c r="F90" s="74" t="str">
        <x:v>2026-08-01</x:v>
      </x:c>
      <x:c r="G90" s="74" t="str">
        <x:v>yyyy-mm-dd｜算法开始生效。</x:v>
      </x:c>
    </x:row>
    <x:row r="91" ht="24" customHeight="1">
      <x:c r="A91" s="77" t="str">
        <x:v>排名流水算法</x:v>
      </x:c>
      <x:c r="B91" s="74" t="str">
        <x:v>end_date</x:v>
      </x:c>
      <x:c r="C91" s="74" t="str">
        <x:v>失效日期</x:v>
      </x:c>
      <x:c r="D91" s="128" t="str">
        <x:v>否</x:v>
      </x:c>
      <x:c r="E91" s="74" t="str">
        <x:v>日期</x:v>
      </x:c>
      <x:c r="F91" s="74" t="str"/>
      <x:c r="G91" s="74" t="str">
        <x:v>空或不早于生效日期｜为空表示持续有效。</x:v>
      </x:c>
    </x:row>
    <x:row r="92" ht="24" customHeight="1">
      <x:c r="A92" s="77" t="str">
        <x:v>排名流水算法</x:v>
      </x:c>
      <x:c r="B92" s="74" t="str">
        <x:v>publish_status</x:v>
      </x:c>
      <x:c r="C92" s="74" t="str">
        <x:v>发布状态</x:v>
      </x:c>
      <x:c r="D92" s="128" t="str">
        <x:v>是</x:v>
      </x:c>
      <x:c r="E92" s="74" t="str">
        <x:v>枚举</x:v>
      </x:c>
      <x:c r="F92" s="74" t="str">
        <x:v>草稿</x:v>
      </x:c>
      <x:c r="G92" s="74" t="str">
        <x:v>草稿/已发布/停用｜测算只读取已发布版本。</x:v>
      </x:c>
    </x:row>
    <x:row r="93" ht="24" customHeight="1">
      <x:c r="A93" s="77" t="str">
        <x:v>排名流水算法</x:v>
      </x:c>
      <x:c r="B93" s="74" t="str">
        <x:v>scenario_check</x:v>
      </x:c>
      <x:c r="C93" s="74" t="str">
        <x:v>三档校验</x:v>
      </x:c>
      <x:c r="D93" s="128" t="str">
        <x:v>否</x:v>
      </x:c>
      <x:c r="E93" s="74" t="str">
        <x:v>公式</x:v>
      </x:c>
      <x:c r="F93" s="74" t="str">
        <x:v>OK</x:v>
      </x:c>
      <x:c r="G93" s="74" t="str">
        <x:v>自动｜校验排名区间及保守≤基准≤乐观。</x:v>
      </x:c>
    </x:row>
    <x:row r="94" ht="24" customHeight="1">
      <x:c r="A94" s="77" t="str">
        <x:v>排名流水算法</x:v>
      </x:c>
      <x:c r="B94" s="74" t="str">
        <x:v>notes</x:v>
      </x:c>
      <x:c r="C94" s="74" t="str">
        <x:v>备注</x:v>
      </x:c>
      <x:c r="D94" s="128" t="str">
        <x:v>否</x:v>
      </x:c>
      <x:c r="E94" s="74" t="str">
        <x:v>文本</x:v>
      </x:c>
      <x:c r="F94" s="74" t="str">
        <x:v>算法待提供</x:v>
      </x:c>
      <x:c r="G94" s="74" t="str">
        <x:v>可空｜算法依据、口径和限制。</x:v>
      </x:c>
    </x:row>
    <x:row r="95" ht="24" customHeight="1">
      <x:c r="A95" s="77" t="str">
        <x:v>汇率配置</x:v>
      </x:c>
      <x:c r="B95" s="74" t="str">
        <x:v>fx_id</x:v>
      </x:c>
      <x:c r="C95" s="74" t="str">
        <x:v>汇率ID</x:v>
      </x:c>
      <x:c r="D95" s="128" t="str">
        <x:v>是</x:v>
      </x:c>
      <x:c r="E95" s="74" t="str">
        <x:v>文本</x:v>
      </x:c>
      <x:c r="F95" s="74" t="str">
        <x:v>fx_usd_20260801</x:v>
      </x:c>
      <x:c r="G95" s="74" t="str">
        <x:v>工作簿内唯一｜汇率记录稳定键。</x:v>
      </x:c>
    </x:row>
    <x:row r="96" ht="24" customHeight="1">
      <x:c r="A96" s="77" t="str">
        <x:v>汇率配置</x:v>
      </x:c>
      <x:c r="B96" s="74" t="str">
        <x:v>currency_code</x:v>
      </x:c>
      <x:c r="C96" s="74" t="str">
        <x:v>原币代码</x:v>
      </x:c>
      <x:c r="D96" s="128" t="str">
        <x:v>是</x:v>
      </x:c>
      <x:c r="E96" s="74" t="str">
        <x:v>文本</x:v>
      </x:c>
      <x:c r="F96" s="74" t="str">
        <x:v>USD</x:v>
      </x:c>
      <x:c r="G96" s="74" t="str">
        <x:v>ISO 4217 三位大写｜待换算的原币。</x:v>
      </x:c>
    </x:row>
    <x:row r="97" ht="24" customHeight="1">
      <x:c r="A97" s="77" t="str">
        <x:v>汇率配置</x:v>
      </x:c>
      <x:c r="B97" s="74" t="str">
        <x:v>base_currency</x:v>
      </x:c>
      <x:c r="C97" s="74" t="str">
        <x:v>汇总币种</x:v>
      </x:c>
      <x:c r="D97" s="128" t="str">
        <x:v>是</x:v>
      </x:c>
      <x:c r="E97" s="74" t="str">
        <x:v>文本</x:v>
      </x:c>
      <x:c r="F97" s="74" t="str">
        <x:v>CNY</x:v>
      </x:c>
      <x:c r="G97" s="74" t="str">
        <x:v>当前固定为 CNY｜统一汇总币种。</x:v>
      </x:c>
    </x:row>
    <x:row r="98" ht="24" customHeight="1">
      <x:c r="A98" s="77" t="str">
        <x:v>汇率配置</x:v>
      </x:c>
      <x:c r="B98" s="74" t="str">
        <x:v>rate_date</x:v>
      </x:c>
      <x:c r="C98" s="74" t="str">
        <x:v>汇率日期</x:v>
      </x:c>
      <x:c r="D98" s="128" t="str">
        <x:v>是</x:v>
      </x:c>
      <x:c r="E98" s="74" t="str">
        <x:v>日期</x:v>
      </x:c>
      <x:c r="F98" s="74" t="str">
        <x:v>2026-08-01</x:v>
      </x:c>
      <x:c r="G98" s="74" t="str">
        <x:v>yyyy-mm-dd｜按榜单日期使用并冻结历史汇率。</x:v>
      </x:c>
    </x:row>
    <x:row r="99" ht="24" customHeight="1">
      <x:c r="A99" s="77" t="str">
        <x:v>汇率配置</x:v>
      </x:c>
      <x:c r="B99" s="74" t="str">
        <x:v>cny_per_unit</x:v>
      </x:c>
      <x:c r="C99" s="74" t="str">
        <x:v>每单位原币折人民币</x:v>
      </x:c>
      <x:c r="D99" s="128" t="str">
        <x:v>是</x:v>
      </x:c>
      <x:c r="E99" s="74" t="str">
        <x:v>小数</x:v>
      </x:c>
      <x:c r="F99" s="74" t="str">
        <x:v>7.20</x:v>
      </x:c>
      <x:c r="G99" s="74" t="str">
        <x:v>&gt;0｜1 单位原币对应的人民币金额。</x:v>
      </x:c>
    </x:row>
    <x:row r="100" ht="24" customHeight="1">
      <x:c r="A100" s="77" t="str">
        <x:v>汇率配置</x:v>
      </x:c>
      <x:c r="B100" s="74" t="str">
        <x:v>source_name</x:v>
      </x:c>
      <x:c r="C100" s="74" t="str">
        <x:v>汇率来源</x:v>
      </x:c>
      <x:c r="D100" s="128" t="str">
        <x:v>是</x:v>
      </x:c>
      <x:c r="E100" s="74" t="str">
        <x:v>文本</x:v>
      </x:c>
      <x:c r="F100" s="74" t="str">
        <x:v>待配置</x:v>
      </x:c>
      <x:c r="G100" s="74" t="str">
        <x:v>非空｜汇率服务或人工依据。</x:v>
      </x:c>
    </x:row>
    <x:row r="101" ht="24" customHeight="1">
      <x:c r="A101" s="77" t="str">
        <x:v>汇率配置</x:v>
      </x:c>
      <x:c r="B101" s="74" t="str">
        <x:v>source_url</x:v>
      </x:c>
      <x:c r="C101" s="74" t="str">
        <x:v>来源链接</x:v>
      </x:c>
      <x:c r="D101" s="128" t="str">
        <x:v>否</x:v>
      </x:c>
      <x:c r="E101" s="74" t="str">
        <x:v>文本</x:v>
      </x:c>
      <x:c r="F101" s="74" t="str">
        <x:v>https://...</x:v>
      </x:c>
      <x:c r="G101" s="74" t="str">
        <x:v>可空｜便于审计的来源链接。</x:v>
      </x:c>
    </x:row>
    <x:row r="102" ht="24" customHeight="1">
      <x:c r="A102" s="77" t="str">
        <x:v>汇率配置</x:v>
      </x:c>
      <x:c r="B102" s="74" t="str">
        <x:v>config_version</x:v>
      </x:c>
      <x:c r="C102" s="74" t="str">
        <x:v>配置版本</x:v>
      </x:c>
      <x:c r="D102" s="128" t="str">
        <x:v>是</x:v>
      </x:c>
      <x:c r="E102" s="74" t="str">
        <x:v>文本</x:v>
      </x:c>
      <x:c r="F102" s="74" t="str">
        <x:v>v1</x:v>
      </x:c>
      <x:c r="G102" s="74" t="str">
        <x:v>非空｜历史复现用版本。</x:v>
      </x:c>
    </x:row>
    <x:row r="103" ht="24" customHeight="1">
      <x:c r="A103" s="77" t="str">
        <x:v>汇率配置</x:v>
      </x:c>
      <x:c r="B103" s="74" t="str">
        <x:v>publish_status</x:v>
      </x:c>
      <x:c r="C103" s="74" t="str">
        <x:v>发布状态</x:v>
      </x:c>
      <x:c r="D103" s="128" t="str">
        <x:v>是</x:v>
      </x:c>
      <x:c r="E103" s="74" t="str">
        <x:v>枚举</x:v>
      </x:c>
      <x:c r="F103" s="74" t="str">
        <x:v>已发布</x:v>
      </x:c>
      <x:c r="G103" s="74" t="str">
        <x:v>草稿/已发布/停用｜换算只读取已发布版本。</x:v>
      </x:c>
    </x:row>
    <x:row r="104" ht="24" customHeight="1">
      <x:c r="A104" s="126" t="str">
        <x:v>汇率配置</x:v>
      </x:c>
      <x:c r="B104" s="75" t="str">
        <x:v>notes</x:v>
      </x:c>
      <x:c r="C104" s="75" t="str">
        <x:v>备注</x:v>
      </x:c>
      <x:c r="D104" s="129" t="str">
        <x:v>否</x:v>
      </x:c>
      <x:c r="E104" s="75" t="str">
        <x:v>文本</x:v>
      </x:c>
      <x:c r="F104" s="75" t="str">
        <x:v>CNY/CNY 恒为 1</x:v>
      </x:c>
      <x:c r="G104" s="75" t="str">
        <x:v>可空｜补充说明。</x:v>
      </x:c>
    </x:row>
  </x:sheetData>
  <x:mergeCells>
    <x:mergeCell ref="A1:G1"/>
    <x:mergeCell ref="A2:G2"/>
    <x:mergeCell ref="A3:G4"/>
  </x:mergeCells>
  <x:pageMargins left="0.7" right="0.7" top="0.75" bottom="0.75" header="0.3" footer="0.3"/>
</x:worksheet>
</file>